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대안비교매트릭스" sheetId="1" state="visible" r:id="rId1"/>
    <sheet name="2_채점기준(사전승인)" sheetId="2" state="visible" r:id="rId2"/>
    <sheet name="3_가중치역전점" sheetId="3" state="visible" r:id="rId3"/>
    <sheet name="4_대안토지이용" sheetId="4" state="visible" r:id="rId4"/>
    <sheet name="5_입지인자4축표" sheetId="5" state="visible" r:id="rId5"/>
    <sheet name="5b_4축판정요약" sheetId="6" state="visible" r:id="rId6"/>
    <sheet name="6_지표6_카탈로그" sheetId="7" state="visible" r:id="rId7"/>
    <sheet name="7_후보지인자값" sheetId="8" state="visible" r:id="rId8"/>
    <sheet name="8_API요청카탈로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대안 비교 매트릭스 — 목표-성취 분석(힐, 1968) 방식 · 5점 척도 × 승인 가중치(합 1.00)</t>
        </is>
      </c>
    </row>
    <row r="3" ht="60" customHeight="1">
      <c r="A3" s="2" t="inlineStr">
        <is>
          <t>지표</t>
        </is>
      </c>
      <c r="B3" s="2" t="inlineStr">
        <is>
          <t>① 지역경쟁력
일자리 용지(공업+상업업무) 비율 (%, +)</t>
        </is>
      </c>
      <c r="C3" s="2" t="inlineStr">
        <is>
          <t>② 지역 간 균형발전
근린상업 500m 이내 주거 셀 비율 (%, +)</t>
        </is>
      </c>
      <c r="D3" s="2" t="inlineStr">
        <is>
          <t>③ 기간시설 효율성
개발용지의 기존 간선도로 평균거리 (m, -)</t>
        </is>
      </c>
      <c r="E3" s="2" t="inlineStr">
        <is>
          <t>④ 자원 지속가능 관리
공원·녹지 비율 (%, +)</t>
        </is>
      </c>
      <c r="F3" s="2" t="inlineStr">
        <is>
          <t>⑤ 저탄소 친환경
개발용지 중 지표⑥(경사15%·향·표고) 적합 셀 비율 (%, +)</t>
        </is>
      </c>
      <c r="G3" s="2" t="inlineStr">
        <is>
          <t>⑥ 종합계획 정합성
목표인구 수용률 (%, +)</t>
        </is>
      </c>
      <c r="H3" s="2" t="inlineStr">
        <is>
          <t>가중 총점</t>
        </is>
      </c>
      <c r="I3" s="2" t="inlineStr">
        <is>
          <t>순위</t>
        </is>
      </c>
    </row>
    <row r="4">
      <c r="A4" s="3" t="inlineStr">
        <is>
          <t>가중치(승인)</t>
        </is>
      </c>
      <c r="B4" s="3" t="n">
        <v>0.15</v>
      </c>
      <c r="C4" s="3" t="n">
        <v>0.15</v>
      </c>
      <c r="D4" s="3" t="n">
        <v>0.15</v>
      </c>
      <c r="E4" s="3" t="n">
        <v>0.2</v>
      </c>
      <c r="F4" s="3" t="n">
        <v>0.15</v>
      </c>
      <c r="G4" s="3" t="n">
        <v>0.2</v>
      </c>
      <c r="H4" s="3">
        <f>SUM(B4:G4)</f>
        <v/>
      </c>
      <c r="I4" s="3" t="inlineStr"/>
    </row>
    <row r="5">
      <c r="A5" s="3" t="inlineStr">
        <is>
          <t>— 원값 —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inlineStr">
        <is>
          <t>대안 A · 보전 우선</t>
        </is>
      </c>
      <c r="B6" s="3" t="n">
        <v>2.3</v>
      </c>
      <c r="C6" s="3" t="n">
        <v>58.5</v>
      </c>
      <c r="D6" s="3" t="n">
        <v>270.8</v>
      </c>
      <c r="E6" s="3" t="n">
        <v>84.5</v>
      </c>
      <c r="F6" s="3" t="n">
        <v>27.1</v>
      </c>
      <c r="G6" s="3" t="n">
        <v>35.4</v>
      </c>
      <c r="H6" s="3" t="n"/>
      <c r="I6" s="3" t="n"/>
    </row>
    <row r="7">
      <c r="A7" s="3" t="inlineStr">
        <is>
          <t>대안 B · 개발 우선</t>
        </is>
      </c>
      <c r="B7" s="3" t="n">
        <v>14.9</v>
      </c>
      <c r="C7" s="3" t="n">
        <v>51.2</v>
      </c>
      <c r="D7" s="3" t="n">
        <v>618.3</v>
      </c>
      <c r="E7" s="3" t="n">
        <v>17.5</v>
      </c>
      <c r="F7" s="3" t="n">
        <v>11.8</v>
      </c>
      <c r="G7" s="3" t="n">
        <v>180.6</v>
      </c>
      <c r="H7" s="3" t="n"/>
      <c r="I7" s="3" t="n"/>
    </row>
    <row r="8">
      <c r="A8" s="3" t="inlineStr">
        <is>
          <t>대안 C · 절충</t>
        </is>
      </c>
      <c r="B8" s="3" t="n">
        <v>8.4</v>
      </c>
      <c r="C8" s="3" t="n">
        <v>39.3</v>
      </c>
      <c r="D8" s="3" t="n">
        <v>510.1</v>
      </c>
      <c r="E8" s="3" t="n">
        <v>47.9</v>
      </c>
      <c r="F8" s="3" t="n">
        <v>18</v>
      </c>
      <c r="G8" s="3" t="n">
        <v>116.6</v>
      </c>
      <c r="H8" s="3" t="n"/>
      <c r="I8" s="3" t="n"/>
    </row>
    <row r="9">
      <c r="A9" s="3" t="inlineStr">
        <is>
          <t>— 점수(1~5) —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inlineStr">
        <is>
          <t>대안 A · 보전 우선</t>
        </is>
      </c>
      <c r="B10" s="3" t="n">
        <v>1</v>
      </c>
      <c r="C10" s="3" t="n">
        <v>3</v>
      </c>
      <c r="D10" s="3" t="n">
        <v>5</v>
      </c>
      <c r="E10" s="3" t="n">
        <v>5</v>
      </c>
      <c r="F10" s="3" t="n">
        <v>3</v>
      </c>
      <c r="G10" s="3" t="n">
        <v>1</v>
      </c>
      <c r="H10" s="3">
        <f>SUMPRODUCT(B10:G10,$B$4:$G$4)</f>
        <v/>
      </c>
      <c r="I10" s="3">
        <f>RANK(H10,$H$10:$H$12)</f>
        <v/>
      </c>
    </row>
    <row r="11">
      <c r="A11" s="3" t="inlineStr">
        <is>
          <t>대안 B · 개발 우선</t>
        </is>
      </c>
      <c r="B11" s="3" t="n">
        <v>3</v>
      </c>
      <c r="C11" s="3" t="n">
        <v>2</v>
      </c>
      <c r="D11" s="3" t="n">
        <v>3</v>
      </c>
      <c r="E11" s="3" t="n">
        <v>2</v>
      </c>
      <c r="F11" s="3" t="n">
        <v>2</v>
      </c>
      <c r="G11" s="3" t="n">
        <v>5</v>
      </c>
      <c r="H11" s="3">
        <f>SUMPRODUCT(B11:G11,$B$4:$G$4)</f>
        <v/>
      </c>
      <c r="I11" s="3">
        <f>RANK(H11,$H$10:$H$12)</f>
        <v/>
      </c>
    </row>
    <row r="12">
      <c r="A12" s="3" t="inlineStr">
        <is>
          <t>대안 C · 절충</t>
        </is>
      </c>
      <c r="B12" s="3" t="n">
        <v>2</v>
      </c>
      <c r="C12" s="3" t="n">
        <v>1</v>
      </c>
      <c r="D12" s="3" t="n">
        <v>4</v>
      </c>
      <c r="E12" s="3" t="n">
        <v>5</v>
      </c>
      <c r="F12" s="3" t="n">
        <v>2</v>
      </c>
      <c r="G12" s="3" t="n">
        <v>5</v>
      </c>
      <c r="H12" s="3">
        <f>SUMPRODUCT(B12:G12,$B$4:$G$4)</f>
        <v/>
      </c>
      <c r="I12" s="3">
        <f>RANK(H12,$H$10:$H$12)</f>
        <v/>
      </c>
    </row>
    <row r="14">
      <c r="A14" t="inlineStr">
        <is>
          <t>검산(파이썬 계산): 대안 A · 보전 우선 3.00 · 대안 B · 개발 우선 2.90 · 대안 C · 절충 3.35</t>
        </is>
      </c>
    </row>
    <row r="15">
      <c r="A15" t="inlineStr">
        <is>
          <t>동일 가중치(1/6) 시: 대안 A · 보전 우선 3.00 · 대안 B · 개발 우선 2.83 · 대안 C · 절충 3.17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0" customWidth="1" min="1" max="1"/>
    <col width="19.2" customWidth="1" min="2" max="2"/>
    <col width="48" customWidth="1" min="3" max="3"/>
    <col width="8" customWidth="1" min="4" max="4"/>
    <col width="8" customWidth="1" min="5" max="5"/>
    <col width="8" customWidth="1" min="6" max="6"/>
    <col width="9.600000000000001" customWidth="1" min="7" max="7"/>
    <col width="12.8" customWidth="1" min="8" max="8"/>
    <col width="11.2" customWidth="1" min="9" max="9"/>
    <col width="11.2" customWidth="1" min="10" max="10"/>
    <col width="8" customWidth="1" min="11" max="11"/>
  </cols>
  <sheetData>
    <row r="1">
      <c r="A1" s="4" t="inlineStr">
        <is>
          <t>지표</t>
        </is>
      </c>
      <c r="B1" s="4" t="inlineStr">
        <is>
          <t>국토계획평가 기준</t>
        </is>
      </c>
      <c r="C1" s="4" t="inlineStr">
        <is>
          <t>지표명</t>
        </is>
      </c>
      <c r="D1" s="4" t="inlineStr">
        <is>
          <t>단위</t>
        </is>
      </c>
      <c r="E1" s="4" t="inlineStr">
        <is>
          <t>방향</t>
        </is>
      </c>
      <c r="F1" s="4" t="inlineStr">
        <is>
          <t>가중치</t>
        </is>
      </c>
      <c r="G1" s="4" t="inlineStr">
        <is>
          <t>1점</t>
        </is>
      </c>
      <c r="H1" s="4" t="inlineStr">
        <is>
          <t>2점</t>
        </is>
      </c>
      <c r="I1" s="4" t="inlineStr">
        <is>
          <t>3점</t>
        </is>
      </c>
      <c r="J1" s="4" t="inlineStr">
        <is>
          <t>4점</t>
        </is>
      </c>
      <c r="K1" s="4" t="inlineStr">
        <is>
          <t>5점</t>
        </is>
      </c>
    </row>
    <row r="2">
      <c r="A2" s="5" t="inlineStr">
        <is>
          <t>I1</t>
        </is>
      </c>
      <c r="B2" s="5" t="inlineStr">
        <is>
          <t>① 지역경쟁력</t>
        </is>
      </c>
      <c r="C2" s="5" t="inlineStr">
        <is>
          <t>일자리 용지(공업+상업업무) 비율</t>
        </is>
      </c>
      <c r="D2" s="5" t="inlineStr">
        <is>
          <t>%</t>
        </is>
      </c>
      <c r="E2" s="5" t="inlineStr">
        <is>
          <t>+</t>
        </is>
      </c>
      <c r="F2" s="5" t="n">
        <v>0.15</v>
      </c>
      <c r="G2" s="5" t="inlineStr">
        <is>
          <t>&lt; 5</t>
        </is>
      </c>
      <c r="H2" s="5" t="inlineStr">
        <is>
          <t>5~10</t>
        </is>
      </c>
      <c r="I2" s="5" t="inlineStr">
        <is>
          <t>10~15</t>
        </is>
      </c>
      <c r="J2" s="5" t="inlineStr">
        <is>
          <t>15~20</t>
        </is>
      </c>
      <c r="K2" s="5" t="inlineStr">
        <is>
          <t>≥ 20</t>
        </is>
      </c>
    </row>
    <row r="3">
      <c r="A3" s="5" t="inlineStr">
        <is>
          <t>I2</t>
        </is>
      </c>
      <c r="B3" s="5" t="inlineStr">
        <is>
          <t>② 지역 간 균형발전</t>
        </is>
      </c>
      <c r="C3" s="5" t="inlineStr">
        <is>
          <t>근린상업 500m 이내 주거 셀 비율</t>
        </is>
      </c>
      <c r="D3" s="5" t="inlineStr">
        <is>
          <t>%</t>
        </is>
      </c>
      <c r="E3" s="5" t="inlineStr">
        <is>
          <t>+</t>
        </is>
      </c>
      <c r="F3" s="5" t="n">
        <v>0.15</v>
      </c>
      <c r="G3" s="5" t="inlineStr">
        <is>
          <t>&lt; 40</t>
        </is>
      </c>
      <c r="H3" s="5" t="inlineStr">
        <is>
          <t>40~55</t>
        </is>
      </c>
      <c r="I3" s="5" t="inlineStr">
        <is>
          <t>55~70</t>
        </is>
      </c>
      <c r="J3" s="5" t="inlineStr">
        <is>
          <t>70~85</t>
        </is>
      </c>
      <c r="K3" s="5" t="inlineStr">
        <is>
          <t>≥ 85</t>
        </is>
      </c>
    </row>
    <row r="4">
      <c r="A4" s="5" t="inlineStr">
        <is>
          <t>I3</t>
        </is>
      </c>
      <c r="B4" s="5" t="inlineStr">
        <is>
          <t>③ 기간시설 효율성</t>
        </is>
      </c>
      <c r="C4" s="5" t="inlineStr">
        <is>
          <t>개발용지의 기존 간선도로 평균거리</t>
        </is>
      </c>
      <c r="D4" s="5" t="inlineStr">
        <is>
          <t>m</t>
        </is>
      </c>
      <c r="E4" s="5" t="inlineStr">
        <is>
          <t>-</t>
        </is>
      </c>
      <c r="F4" s="5" t="n">
        <v>0.15</v>
      </c>
      <c r="G4" s="5" t="inlineStr">
        <is>
          <t>&gt; 1000</t>
        </is>
      </c>
      <c r="H4" s="5" t="inlineStr">
        <is>
          <t>800~1000</t>
        </is>
      </c>
      <c r="I4" s="5" t="inlineStr">
        <is>
          <t>600~800</t>
        </is>
      </c>
      <c r="J4" s="5" t="inlineStr">
        <is>
          <t>400~600</t>
        </is>
      </c>
      <c r="K4" s="5" t="inlineStr">
        <is>
          <t>≤ 400</t>
        </is>
      </c>
    </row>
    <row r="5">
      <c r="A5" s="5" t="inlineStr">
        <is>
          <t>I4</t>
        </is>
      </c>
      <c r="B5" s="5" t="inlineStr">
        <is>
          <t>④ 자원 지속가능 관리</t>
        </is>
      </c>
      <c r="C5" s="5" t="inlineStr">
        <is>
          <t>공원·녹지 비율</t>
        </is>
      </c>
      <c r="D5" s="5" t="inlineStr">
        <is>
          <t>%</t>
        </is>
      </c>
      <c r="E5" s="5" t="inlineStr">
        <is>
          <t>+</t>
        </is>
      </c>
      <c r="F5" s="5" t="n">
        <v>0.2</v>
      </c>
      <c r="G5" s="5" t="inlineStr">
        <is>
          <t>&lt; 12</t>
        </is>
      </c>
      <c r="H5" s="5" t="inlineStr">
        <is>
          <t>12~20</t>
        </is>
      </c>
      <c r="I5" s="5" t="inlineStr">
        <is>
          <t>20~30</t>
        </is>
      </c>
      <c r="J5" s="5" t="inlineStr">
        <is>
          <t>30~40</t>
        </is>
      </c>
      <c r="K5" s="5" t="inlineStr">
        <is>
          <t>≥ 40</t>
        </is>
      </c>
    </row>
    <row r="6">
      <c r="A6" s="5" t="inlineStr">
        <is>
          <t>I5</t>
        </is>
      </c>
      <c r="B6" s="5" t="inlineStr">
        <is>
          <t>⑤ 저탄소 친환경</t>
        </is>
      </c>
      <c r="C6" s="5" t="inlineStr">
        <is>
          <t>개발용지 중 지표⑥(경사15%·향·표고) 적합 셀 비율</t>
        </is>
      </c>
      <c r="D6" s="5" t="inlineStr">
        <is>
          <t>%</t>
        </is>
      </c>
      <c r="E6" s="5" t="inlineStr">
        <is>
          <t>+</t>
        </is>
      </c>
      <c r="F6" s="5" t="n">
        <v>0.15</v>
      </c>
      <c r="G6" s="5" t="inlineStr">
        <is>
          <t>&lt; 10</t>
        </is>
      </c>
      <c r="H6" s="5" t="inlineStr">
        <is>
          <t>10~20</t>
        </is>
      </c>
      <c r="I6" s="5" t="inlineStr">
        <is>
          <t>20~30</t>
        </is>
      </c>
      <c r="J6" s="5" t="inlineStr">
        <is>
          <t>30~40</t>
        </is>
      </c>
      <c r="K6" s="5" t="inlineStr">
        <is>
          <t>≥ 40</t>
        </is>
      </c>
    </row>
    <row r="7">
      <c r="A7" s="5" t="inlineStr">
        <is>
          <t>I6</t>
        </is>
      </c>
      <c r="B7" s="5" t="inlineStr">
        <is>
          <t>⑥ 종합계획 정합성</t>
        </is>
      </c>
      <c r="C7" s="5" t="inlineStr">
        <is>
          <t>목표인구 수용률</t>
        </is>
      </c>
      <c r="D7" s="5" t="inlineStr">
        <is>
          <t>%</t>
        </is>
      </c>
      <c r="E7" s="5" t="inlineStr">
        <is>
          <t>+</t>
        </is>
      </c>
      <c r="F7" s="5" t="n">
        <v>0.2</v>
      </c>
      <c r="G7" s="5" t="inlineStr">
        <is>
          <t>&lt; 70</t>
        </is>
      </c>
      <c r="H7" s="5" t="inlineStr">
        <is>
          <t>70~80</t>
        </is>
      </c>
      <c r="I7" s="5" t="inlineStr">
        <is>
          <t>80~90</t>
        </is>
      </c>
      <c r="J7" s="5" t="inlineStr">
        <is>
          <t>90~100</t>
        </is>
      </c>
      <c r="K7" s="5" t="inlineStr">
        <is>
          <t>≥ 100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inlineStr">
        <is>
          <t>5점 척도. direction '+' : 값 &lt; b1 → 1, b1~b2 → 2, b2~b3 → 3, b3~b4 → 4, ≥ b4 → 5. direction '-' : 값 &gt; b1 → 1, b1~b2 → 2, b2~b3 → 3, b3~b4 → 4, ≤ b4 → 5. ④는 법정 확보기준(12%) 미달 시 1점.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inlineStr">
        <is>
          <t>대안 작성 전 확정·승인된 지표·가중치·채점 구간 (승인 2026-10-12, 팀 확인). 이 파일은 대안 계산(06) 이전에 작성되었고 이후 수정하지 않음.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0" customWidth="1" min="1" max="1"/>
    <col width="9.600000000000001" customWidth="1" min="2" max="2"/>
    <col width="9.600000000000001" customWidth="1" min="3" max="3"/>
    <col width="27.2" customWidth="1" min="4" max="4"/>
    <col width="19.2" customWidth="1" min="5" max="5"/>
    <col width="11.2" customWidth="1" min="6" max="6"/>
  </cols>
  <sheetData>
    <row r="1">
      <c r="A1" s="4" t="inlineStr">
        <is>
          <t>지표</t>
        </is>
      </c>
      <c r="B1" s="4" t="inlineStr">
        <is>
          <t>현재 가중치</t>
        </is>
      </c>
      <c r="C1" s="4" t="inlineStr">
        <is>
          <t>역전 가중치</t>
        </is>
      </c>
      <c r="D1" s="4" t="inlineStr">
        <is>
          <t>방향</t>
        </is>
      </c>
      <c r="E1" s="4" t="inlineStr">
        <is>
          <t>역전 후 1위</t>
        </is>
      </c>
      <c r="F1" s="4" t="inlineStr">
        <is>
          <t>여유폭(%p)</t>
        </is>
      </c>
    </row>
    <row r="2">
      <c r="A2" s="5" t="inlineStr">
        <is>
          <t>① 지역경쟁력 일자리 용지(공업+상업업무) 비율</t>
        </is>
      </c>
      <c r="B2" s="5" t="n">
        <v>0.15</v>
      </c>
      <c r="C2" s="5" t="n">
        <v>0.414</v>
      </c>
      <c r="D2" s="5" t="inlineStr">
        <is>
          <t>0.15 → 0.414 (증가)</t>
        </is>
      </c>
      <c r="E2" s="5" t="inlineStr">
        <is>
          <t>대안 B · 개발 우선</t>
        </is>
      </c>
      <c r="F2" s="5" t="n">
        <v>26.4</v>
      </c>
    </row>
    <row r="3">
      <c r="A3" s="5" t="inlineStr">
        <is>
          <t>② 지역 간 균형발전 근린상업 500m 이내 주거 셀 비율</t>
        </is>
      </c>
      <c r="B3" s="5" t="n">
        <v>0.15</v>
      </c>
      <c r="C3" s="5" t="n">
        <v>0.277</v>
      </c>
      <c r="D3" s="5" t="inlineStr">
        <is>
          <t>0.15 → 0.277 (증가)</t>
        </is>
      </c>
      <c r="E3" s="5" t="inlineStr">
        <is>
          <t>대안 A · 보전 우선</t>
        </is>
      </c>
      <c r="F3" s="5" t="n">
        <v>12.7</v>
      </c>
    </row>
    <row r="4">
      <c r="A4" s="5" t="inlineStr">
        <is>
          <t>③ 기간시설 효율성 개발용지의 기존 간선도로 평균거리</t>
        </is>
      </c>
      <c r="B4" s="5" t="n">
        <v>0.15</v>
      </c>
      <c r="C4" s="5" t="n">
        <v>0.37</v>
      </c>
      <c r="D4" s="5" t="inlineStr">
        <is>
          <t>0.15 → 0.370 (증가)</t>
        </is>
      </c>
      <c r="E4" s="5" t="inlineStr">
        <is>
          <t>대안 A · 보전 우선</t>
        </is>
      </c>
      <c r="F4" s="5" t="n">
        <v>22</v>
      </c>
    </row>
    <row r="5">
      <c r="A5" s="5" t="inlineStr">
        <is>
          <t>④ 자원 지속가능 관리 공원·녹지 비율</t>
        </is>
      </c>
      <c r="B5" s="5" t="n">
        <v>0.2</v>
      </c>
      <c r="C5" s="5" t="n">
        <v>0.059</v>
      </c>
      <c r="D5" s="5" t="inlineStr">
        <is>
          <t>0.20 → 0.059 (감소)</t>
        </is>
      </c>
      <c r="E5" s="5" t="inlineStr">
        <is>
          <t>대안 B · 개발 우선</t>
        </is>
      </c>
      <c r="F5" s="5" t="n">
        <v>14.1</v>
      </c>
    </row>
    <row r="6">
      <c r="A6" s="5" t="inlineStr">
        <is>
          <t>⑤ 저탄소 친환경 개발용지 중 지표⑥(경사15%·향·표고) 적합 셀 비율</t>
        </is>
      </c>
      <c r="B6" s="5" t="n">
        <v>0.15</v>
      </c>
      <c r="C6" s="5" t="n">
        <v>0.37</v>
      </c>
      <c r="D6" s="5" t="inlineStr">
        <is>
          <t>0.15 → 0.370 (증가)</t>
        </is>
      </c>
      <c r="E6" s="5" t="inlineStr">
        <is>
          <t>대안 A · 보전 우선</t>
        </is>
      </c>
      <c r="F6" s="5" t="n">
        <v>22</v>
      </c>
    </row>
    <row r="7">
      <c r="A7" s="5" t="inlineStr">
        <is>
          <t>⑥ 종합계획 정합성 목표인구 수용률</t>
        </is>
      </c>
      <c r="B7" s="5" t="n">
        <v>0.2</v>
      </c>
      <c r="C7" s="5" t="n">
        <v>0.123</v>
      </c>
      <c r="D7" s="5" t="inlineStr">
        <is>
          <t>0.20 → 0.123 (감소)</t>
        </is>
      </c>
      <c r="E7" s="5" t="inlineStr">
        <is>
          <t>대안 A · 보전 우선</t>
        </is>
      </c>
      <c r="F7" s="5" t="n">
        <v>7.7</v>
      </c>
    </row>
    <row r="9">
      <c r="A9" t="inlineStr">
        <is>
          <t>현재 1위 대안 C · 절충 · 2위 대안 A · 보전 우선. 역전 가중치 = 해당 지표 가중치만 바꾸고 나머지는 비율 유지·합 1.00일 때 1위가 바뀌는 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9.2" customWidth="1" min="1" max="1"/>
    <col width="14.4" customWidth="1" min="2" max="2"/>
    <col width="12.8" customWidth="1" min="3" max="3"/>
    <col width="9.600000000000001" customWidth="1" min="4" max="4"/>
    <col width="8" customWidth="1" min="5" max="5"/>
    <col width="14.4" customWidth="1" min="6" max="6"/>
    <col width="12.8" customWidth="1" min="7" max="7"/>
    <col width="9.600000000000001" customWidth="1" min="8" max="8"/>
    <col width="8" customWidth="1" min="9" max="9"/>
    <col width="12.8" customWidth="1" min="10" max="10"/>
    <col width="28.8" customWidth="1" min="11" max="11"/>
    <col width="16" customWidth="1" min="12" max="12"/>
    <col width="11.2" customWidth="1" min="13" max="13"/>
    <col width="22.4" customWidth="1" min="14" max="14"/>
  </cols>
  <sheetData>
    <row r="1">
      <c r="A1" s="4" t="inlineStr">
        <is>
          <t>대안</t>
        </is>
      </c>
      <c r="B1" s="4" t="inlineStr">
        <is>
          <t>공원·녹지(ha)</t>
        </is>
      </c>
      <c r="C1" s="4" t="inlineStr">
        <is>
          <t>공원·녹지(%)</t>
        </is>
      </c>
      <c r="D1" s="4" t="inlineStr">
        <is>
          <t>공업(ha)</t>
        </is>
      </c>
      <c r="E1" s="4" t="inlineStr">
        <is>
          <t>공업(%)</t>
        </is>
      </c>
      <c r="F1" s="4" t="inlineStr">
        <is>
          <t>상업·업무(ha)</t>
        </is>
      </c>
      <c r="G1" s="4" t="inlineStr">
        <is>
          <t>상업·업무(%)</t>
        </is>
      </c>
      <c r="H1" s="4" t="inlineStr">
        <is>
          <t>주거(ha)</t>
        </is>
      </c>
      <c r="I1" s="4" t="inlineStr">
        <is>
          <t>주거(%)</t>
        </is>
      </c>
      <c r="J1" s="4" t="inlineStr">
        <is>
          <t>개발용지(ha)</t>
        </is>
      </c>
      <c r="K1" s="4" t="inlineStr">
        <is>
          <t>그중 도로·기반시설 20%(ha)</t>
        </is>
      </c>
      <c r="L1" s="4" t="inlineStr">
        <is>
          <t>주거 순면적(ha)</t>
        </is>
      </c>
      <c r="M1" s="4" t="inlineStr">
        <is>
          <t>수용인구(명)</t>
        </is>
      </c>
      <c r="N1" s="4" t="inlineStr">
        <is>
          <t>공원 법정 확보기준(ha)</t>
        </is>
      </c>
    </row>
    <row r="2">
      <c r="A2" s="5" t="inlineStr">
        <is>
          <t>대안 A · 보전 우선</t>
        </is>
      </c>
      <c r="B2" s="5" t="n">
        <v>211.4</v>
      </c>
      <c r="C2" s="5" t="n">
        <v>84.5</v>
      </c>
      <c r="D2" s="5" t="n">
        <v>0</v>
      </c>
      <c r="E2" s="5" t="n">
        <v>0</v>
      </c>
      <c r="F2" s="5" t="n">
        <v>5.7</v>
      </c>
      <c r="G2" s="5" t="n">
        <v>2.3</v>
      </c>
      <c r="H2" s="5" t="n">
        <v>33.2</v>
      </c>
      <c r="I2" s="5" t="n">
        <v>13.3</v>
      </c>
      <c r="J2" s="5" t="n">
        <v>38.9</v>
      </c>
      <c r="K2" s="5" t="n">
        <v>7.8</v>
      </c>
      <c r="L2" s="5" t="n">
        <v>26.6</v>
      </c>
      <c r="M2" s="5" t="n">
        <v>5310</v>
      </c>
      <c r="N2" s="5" t="n">
        <v>30</v>
      </c>
    </row>
    <row r="3">
      <c r="A3" s="5" t="inlineStr">
        <is>
          <t>대안 B · 개발 우선</t>
        </is>
      </c>
      <c r="B3" s="5" t="n">
        <v>43.7</v>
      </c>
      <c r="C3" s="5" t="n">
        <v>17.5</v>
      </c>
      <c r="D3" s="5" t="n">
        <v>25.1</v>
      </c>
      <c r="E3" s="5" t="n">
        <v>10</v>
      </c>
      <c r="F3" s="5" t="n">
        <v>12.2</v>
      </c>
      <c r="G3" s="5" t="n">
        <v>4.9</v>
      </c>
      <c r="H3" s="5" t="n">
        <v>169.3</v>
      </c>
      <c r="I3" s="5" t="n">
        <v>67.59999999999999</v>
      </c>
      <c r="J3" s="5" t="n">
        <v>206.6</v>
      </c>
      <c r="K3" s="5" t="n">
        <v>41.3</v>
      </c>
      <c r="L3" s="5" t="n">
        <v>135.4</v>
      </c>
      <c r="M3" s="5" t="n">
        <v>27090</v>
      </c>
      <c r="N3" s="5" t="n">
        <v>30</v>
      </c>
    </row>
    <row r="4">
      <c r="A4" s="5" t="inlineStr">
        <is>
          <t>대안 C · 절충</t>
        </is>
      </c>
      <c r="B4" s="5" t="n">
        <v>119.9</v>
      </c>
      <c r="C4" s="5" t="n">
        <v>47.9</v>
      </c>
      <c r="D4" s="5" t="n">
        <v>12.2</v>
      </c>
      <c r="E4" s="5" t="n">
        <v>4.9</v>
      </c>
      <c r="F4" s="5" t="n">
        <v>8.9</v>
      </c>
      <c r="G4" s="5" t="n">
        <v>3.6</v>
      </c>
      <c r="H4" s="5" t="n">
        <v>109.4</v>
      </c>
      <c r="I4" s="5" t="n">
        <v>43.7</v>
      </c>
      <c r="J4" s="5" t="n">
        <v>130.4</v>
      </c>
      <c r="K4" s="5" t="n">
        <v>26.1</v>
      </c>
      <c r="L4" s="5" t="n">
        <v>87.5</v>
      </c>
      <c r="M4" s="5" t="n">
        <v>17500</v>
      </c>
      <c r="N4" s="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60" customWidth="1" min="4" max="4"/>
    <col width="43.2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4" t="inlineStr">
        <is>
          <t>용도</t>
        </is>
      </c>
      <c r="B1" s="4" t="inlineStr">
        <is>
          <t>축</t>
        </is>
      </c>
      <c r="C1" s="4" t="inlineStr">
        <is>
          <t>요건 문장</t>
        </is>
      </c>
      <c r="D1" s="4" t="inlineStr">
        <is>
          <t>수치 기준</t>
        </is>
      </c>
      <c r="E1" s="4" t="inlineStr">
        <is>
          <t>근거</t>
        </is>
      </c>
      <c r="F1" s="4" t="inlineStr">
        <is>
          <t>후보지 A 값</t>
        </is>
      </c>
      <c r="G1" s="4" t="inlineStr">
        <is>
          <t>A 판정</t>
        </is>
      </c>
      <c r="H1" s="4" t="inlineStr">
        <is>
          <t>후보지 B 값</t>
        </is>
      </c>
      <c r="I1" s="4" t="inlineStr">
        <is>
          <t>B 판정</t>
        </is>
      </c>
    </row>
    <row r="2">
      <c r="A2" s="5" t="inlineStr">
        <is>
          <t>녹지</t>
        </is>
      </c>
      <c r="B2" s="5" t="inlineStr">
        <is>
          <t>지형</t>
        </is>
      </c>
      <c r="C2" s="5" t="inlineStr">
        <is>
          <t>경사 25% 초과 산지와 재난위험지대 같은 시가화 부적당지는 녹지로 먼저 확정한다</t>
        </is>
      </c>
      <c r="D2" s="5" t="inlineStr">
        <is>
          <t>경사 &gt; 25% 셀 → 녹지 선확정</t>
        </is>
      </c>
      <c r="E2" s="5" t="inlineStr">
        <is>
          <t>원본 13·14번</t>
        </is>
      </c>
      <c r="F2" s="5" t="inlineStr">
        <is>
          <t>25% 초과 0.3% (1ha)</t>
        </is>
      </c>
      <c r="G2" s="5" t="inlineStr">
        <is>
          <t>○</t>
        </is>
      </c>
      <c r="H2" s="5" t="inlineStr">
        <is>
          <t>25% 초과 33.5% (119ha)</t>
        </is>
      </c>
      <c r="I2" s="5" t="inlineStr">
        <is>
          <t>○</t>
        </is>
      </c>
    </row>
    <row r="3">
      <c r="A3" s="5" t="inlineStr">
        <is>
          <t>녹지</t>
        </is>
      </c>
      <c r="B3" s="5" t="inlineStr">
        <is>
          <t>접근성</t>
        </is>
      </c>
      <c r="C3" s="5" t="inlineStr">
        <is>
          <t>녹지는 근린주구 생활권 안의 일상 이용 거리에 둔다</t>
        </is>
      </c>
      <c r="D3" s="5" t="inlineStr">
        <is>
          <t>생활권공원 유치거리 250·500·1,000m</t>
        </is>
      </c>
      <c r="E3" s="5" t="inlineStr">
        <is>
          <t>원본 13·14번 · 도시공원법 시행규칙 별표 3</t>
        </is>
      </c>
      <c r="F3" s="5" t="inlineStr">
        <is>
          <t>기존 주거지역까지 평균 497m</t>
        </is>
      </c>
      <c r="G3" s="5" t="inlineStr">
        <is>
          <t>○</t>
        </is>
      </c>
      <c r="H3" s="5" t="inlineStr">
        <is>
          <t>기존 주거지역까지 평균 1,324m</t>
        </is>
      </c>
      <c r="I3" s="5" t="inlineStr">
        <is>
          <t>×</t>
        </is>
      </c>
    </row>
    <row r="4">
      <c r="A4" s="5" t="inlineStr">
        <is>
          <t>녹지</t>
        </is>
      </c>
      <c r="B4" s="5" t="inlineStr">
        <is>
          <t>주변환경</t>
        </is>
      </c>
      <c r="C4" s="5" t="inlineStr">
        <is>
          <t>풍치·산림 보전 대상과 위험시설 완충이 필요한 땅을 보전·완충녹지로 둔다</t>
        </is>
      </c>
      <c r="D4" s="5" t="inlineStr">
        <is>
          <t>농림지역·보전관리지역 면적</t>
        </is>
      </c>
      <c r="E4" s="5" t="inlineStr">
        <is>
          <t>원본 13·14번 · 국토계획법 제36조</t>
        </is>
      </c>
      <c r="F4" s="5" t="inlineStr">
        <is>
          <t>농림 156ha · 관리 56ha</t>
        </is>
      </c>
      <c r="G4" s="5" t="inlineStr">
        <is>
          <t>○</t>
        </is>
      </c>
      <c r="H4" s="5" t="inlineStr">
        <is>
          <t>농림 187ha · 관리 168ha</t>
        </is>
      </c>
      <c r="I4" s="5" t="inlineStr">
        <is>
          <t>○</t>
        </is>
      </c>
    </row>
    <row r="5">
      <c r="A5" s="5" t="inlineStr">
        <is>
          <t>녹지</t>
        </is>
      </c>
      <c r="B5" s="5" t="inlineStr">
        <is>
          <t>기반시설</t>
        </is>
      </c>
      <c r="C5" s="5" t="inlineStr">
        <is>
          <t>녹지체계 위계(환상·방사·격자·분산)에 맞도록 기결정 공원·녹지와 잇는다</t>
        </is>
      </c>
      <c r="D5" s="5" t="inlineStr">
        <is>
          <t>기결정 공원·녹지시설 연접</t>
        </is>
      </c>
      <c r="E5" s="5" t="inlineStr">
        <is>
          <t>원본 13·14번 · 도시공원법 제35조</t>
        </is>
      </c>
      <c r="F5" s="5" t="inlineStr">
        <is>
          <t>기결정 공원·녹지 24.1ha 포함</t>
        </is>
      </c>
      <c r="G5" s="5" t="inlineStr">
        <is>
          <t>○</t>
        </is>
      </c>
      <c r="H5" s="5" t="inlineStr">
        <is>
          <t>기결정 공원·녹지 16.3ha 포함</t>
        </is>
      </c>
      <c r="I5" s="5" t="inlineStr">
        <is>
          <t>△</t>
        </is>
      </c>
    </row>
    <row r="6">
      <c r="A6" s="5" t="inlineStr">
        <is>
          <t>상업업무</t>
        </is>
      </c>
      <c r="B6" s="5" t="inlineStr">
        <is>
          <t>지형</t>
        </is>
      </c>
      <c r="C6" s="5" t="inlineStr">
        <is>
          <t>유통·상업시설은 경사 5% 이하 평지에 둔다</t>
        </is>
      </c>
      <c r="D6" s="5" t="inlineStr">
        <is>
          <t>경사 ≤ 5% 셀 비율</t>
        </is>
      </c>
      <c r="E6" s="5" t="inlineStr">
        <is>
          <t>원본 17번</t>
        </is>
      </c>
      <c r="F6" s="5" t="inlineStr">
        <is>
          <t>5% 이하 9.7% (최대 연속 4.9ha)</t>
        </is>
      </c>
      <c r="G6" s="5" t="inlineStr">
        <is>
          <t>×</t>
        </is>
      </c>
      <c r="H6" s="5" t="inlineStr">
        <is>
          <t>5% 이하 4.3% (최대 연속 4.1ha)</t>
        </is>
      </c>
      <c r="I6" s="5" t="inlineStr">
        <is>
          <t>×</t>
        </is>
      </c>
    </row>
    <row r="7">
      <c r="A7" s="5" t="inlineStr">
        <is>
          <t>상업업무</t>
        </is>
      </c>
      <c r="B7" s="5" t="inlineStr">
        <is>
          <t>접근성</t>
        </is>
      </c>
      <c r="C7" s="5" t="inlineStr">
        <is>
          <t>근린상업은 주거지에 인접하고, 일반상업은 간선 교차점이나 교통결절에 둔다</t>
        </is>
      </c>
      <c r="D7" s="5" t="inlineStr">
        <is>
          <t>간선도로 ≤ 500m · 철도역 ≤ 1km</t>
        </is>
      </c>
      <c r="E7" s="5" t="inlineStr">
        <is>
          <t>원본 15~17번</t>
        </is>
      </c>
      <c r="F7" s="5" t="inlineStr">
        <is>
          <t>간선 568m · 역 3,961m</t>
        </is>
      </c>
      <c r="G7" s="5" t="inlineStr">
        <is>
          <t>△</t>
        </is>
      </c>
      <c r="H7" s="5" t="inlineStr">
        <is>
          <t>간선 497m · 역 3,969m</t>
        </is>
      </c>
      <c r="I7" s="5" t="inlineStr">
        <is>
          <t>△</t>
        </is>
      </c>
    </row>
    <row r="8">
      <c r="A8" s="5" t="inlineStr">
        <is>
          <t>상업업무</t>
        </is>
      </c>
      <c r="B8" s="5" t="inlineStr">
        <is>
          <t>주변환경</t>
        </is>
      </c>
      <c r="C8" s="5" t="inlineStr">
        <is>
          <t>근린상업은 녹지와 이어 쾌적성을 유지하고, 유통상업은 인접지 환경을 보전한다</t>
        </is>
      </c>
      <c r="D8" s="5" t="inlineStr">
        <is>
          <t>녹지 연계 가능(기결정 공원·녹지 연접)</t>
        </is>
      </c>
      <c r="E8" s="5" t="inlineStr">
        <is>
          <t>원본 17번</t>
        </is>
      </c>
      <c r="F8" s="5" t="inlineStr">
        <is>
          <t>기결정 공원·녹지 24.1ha</t>
        </is>
      </c>
      <c r="G8" s="5" t="inlineStr">
        <is>
          <t>○</t>
        </is>
      </c>
      <c r="H8" s="5" t="inlineStr">
        <is>
          <t>기결정 공원·녹지 16.3ha</t>
        </is>
      </c>
      <c r="I8" s="5" t="inlineStr">
        <is>
          <t>△</t>
        </is>
      </c>
    </row>
    <row r="9">
      <c r="A9" s="5" t="inlineStr">
        <is>
          <t>상업업무</t>
        </is>
      </c>
      <c r="B9" s="5" t="inlineStr">
        <is>
          <t>기반시설</t>
        </is>
      </c>
      <c r="C9" s="5" t="inlineStr">
        <is>
          <t>근린상업은 3~5만 명 배후인구와 물류망을 확보한다</t>
        </is>
      </c>
      <c r="D9" s="5" t="inlineStr">
        <is>
          <t>기존 시가지 300m 이내 셀 비율</t>
        </is>
      </c>
      <c r="E9" s="5" t="inlineStr">
        <is>
          <t>원본 16·17번</t>
        </is>
      </c>
      <c r="F9" s="5" t="inlineStr">
        <is>
          <t>시가지 인접 35.3%</t>
        </is>
      </c>
      <c r="G9" s="5" t="inlineStr">
        <is>
          <t>△</t>
        </is>
      </c>
      <c r="H9" s="5" t="inlineStr">
        <is>
          <t>시가지 인접 0.7%</t>
        </is>
      </c>
      <c r="I9" s="5" t="inlineStr">
        <is>
          <t>×</t>
        </is>
      </c>
    </row>
    <row r="10">
      <c r="A10" s="5" t="inlineStr">
        <is>
          <t>주거</t>
        </is>
      </c>
      <c r="B10" s="5" t="inlineStr">
        <is>
          <t>지형</t>
        </is>
      </c>
      <c r="C10" s="5" t="inlineStr">
        <is>
          <t>주거지는 경사 4~10%를 바람직한 범위로, 25%를 개발 한계로 두고 표고는 기반시설 +50m 이내로 한다</t>
        </is>
      </c>
      <c r="D10" s="5" t="inlineStr">
        <is>
          <t>경사 ≤ 10%(바람직) · ≤ 25%(한계) · 표고 ≤ 기준 +50m</t>
        </is>
      </c>
      <c r="E10" s="5" t="inlineStr">
        <is>
          <t>원본 19번</t>
        </is>
      </c>
      <c r="F10" s="5" t="inlineStr">
        <is>
          <t>10% 이하 36.2% · 25% 초과 0.3% · 평균표고 83m(기준 63+50)</t>
        </is>
      </c>
      <c r="G10" s="5" t="inlineStr">
        <is>
          <t>△</t>
        </is>
      </c>
      <c r="H10" s="5" t="inlineStr">
        <is>
          <t>10% 이하 14.2% · 25% 초과 33.5% · 평균표고 180m(기준 89+50)</t>
        </is>
      </c>
      <c r="I10" s="5" t="inlineStr">
        <is>
          <t>×</t>
        </is>
      </c>
    </row>
    <row r="11">
      <c r="A11" s="5" t="inlineStr">
        <is>
          <t>주거</t>
        </is>
      </c>
      <c r="B11" s="5" t="inlineStr">
        <is>
          <t>접근성</t>
        </is>
      </c>
      <c r="C11" s="5" t="inlineStr">
        <is>
          <t>주거지는 직장·편익시설에 가깝고 간선도로·휴식공간과 이어진다</t>
        </is>
      </c>
      <c r="D11" s="5" t="inlineStr">
        <is>
          <t>간선도로 ≤ 500m · 기존 주거지 ≤ 500m</t>
        </is>
      </c>
      <c r="E11" s="5" t="inlineStr">
        <is>
          <t>원본 19번</t>
        </is>
      </c>
      <c r="F11" s="5" t="inlineStr">
        <is>
          <t>간선 568m · 기존 주거지 497m</t>
        </is>
      </c>
      <c r="G11" s="5" t="inlineStr">
        <is>
          <t>△</t>
        </is>
      </c>
      <c r="H11" s="5" t="inlineStr">
        <is>
          <t>간선 497m · 기존 주거지 1,324m</t>
        </is>
      </c>
      <c r="I11" s="5" t="inlineStr">
        <is>
          <t>△</t>
        </is>
      </c>
    </row>
    <row r="12">
      <c r="A12" s="5" t="inlineStr">
        <is>
          <t>주거</t>
        </is>
      </c>
      <c r="B12" s="5" t="inlineStr">
        <is>
          <t>주변환경</t>
        </is>
      </c>
      <c r="C12" s="5" t="inlineStr">
        <is>
          <t>주거지는 오염원과 떨어진 남경사지에 두고 녹지·수변과 잇는다</t>
        </is>
      </c>
      <c r="D12" s="5" t="inlineStr">
        <is>
          <t>향 135~225° 셀 비율 ≥ 30%</t>
        </is>
      </c>
      <c r="E12" s="5" t="inlineStr">
        <is>
          <t>원본 19번</t>
        </is>
      </c>
      <c r="F12" s="5" t="inlineStr">
        <is>
          <t>남향 13.3%</t>
        </is>
      </c>
      <c r="G12" s="5" t="inlineStr">
        <is>
          <t>×</t>
        </is>
      </c>
      <c r="H12" s="5" t="inlineStr">
        <is>
          <t>남향 31.9%</t>
        </is>
      </c>
      <c r="I12" s="5" t="inlineStr">
        <is>
          <t>○</t>
        </is>
      </c>
    </row>
    <row r="13">
      <c r="A13" s="5" t="inlineStr">
        <is>
          <t>주거</t>
        </is>
      </c>
      <c r="B13" s="5" t="inlineStr">
        <is>
          <t>기반시설</t>
        </is>
      </c>
      <c r="C13" s="5" t="inlineStr">
        <is>
          <t>주거지는 도로·가스·전기 공급망이 이미 갖춰진 곳에 이어 붙인다</t>
        </is>
      </c>
      <c r="D13" s="5" t="inlineStr">
        <is>
          <t>기존 시가지 300m 이내 셀 비율</t>
        </is>
      </c>
      <c r="E13" s="5" t="inlineStr">
        <is>
          <t>원본 19번</t>
        </is>
      </c>
      <c r="F13" s="5" t="inlineStr">
        <is>
          <t>시가지 인접 35.3%</t>
        </is>
      </c>
      <c r="G13" s="5" t="inlineStr">
        <is>
          <t>△</t>
        </is>
      </c>
      <c r="H13" s="5" t="inlineStr">
        <is>
          <t>시가지 인접 0.7%</t>
        </is>
      </c>
      <c r="I13" s="5" t="inlineStr">
        <is>
          <t>×</t>
        </is>
      </c>
    </row>
    <row r="14">
      <c r="A14" s="5" t="inlineStr">
        <is>
          <t>공업</t>
        </is>
      </c>
      <c r="B14" s="5" t="inlineStr">
        <is>
          <t>지형</t>
        </is>
      </c>
      <c r="C14" s="5" t="inlineStr">
        <is>
          <t>공업지는 경사 5% 이하이고 최소규모 이상인 평탄지에 둔다</t>
        </is>
      </c>
      <c r="D14" s="5" t="inlineStr">
        <is>
          <t>경사 ≤ 5% 연속 ≥ 10ha</t>
        </is>
      </c>
      <c r="E14" s="5" t="inlineStr">
        <is>
          <t>원본 21번</t>
        </is>
      </c>
      <c r="F14" s="5" t="inlineStr">
        <is>
          <t>5% 이하 최대 연속 4.9ha</t>
        </is>
      </c>
      <c r="G14" s="5" t="inlineStr">
        <is>
          <t>×</t>
        </is>
      </c>
      <c r="H14" s="5" t="inlineStr">
        <is>
          <t>5% 이하 최대 연속 4.1ha</t>
        </is>
      </c>
      <c r="I14" s="5" t="inlineStr">
        <is>
          <t>×</t>
        </is>
      </c>
    </row>
    <row r="15">
      <c r="A15" s="5" t="inlineStr">
        <is>
          <t>공업</t>
        </is>
      </c>
      <c r="B15" s="5" t="inlineStr">
        <is>
          <t>접근성</t>
        </is>
      </c>
      <c r="C15" s="5" t="inlineStr">
        <is>
          <t>공업지는 화물 수송을 위해 간선교통(IC)에 바로 이어진다</t>
        </is>
      </c>
      <c r="D15" s="5" t="inlineStr">
        <is>
          <t>IC ≤ 2km</t>
        </is>
      </c>
      <c r="E15" s="5" t="inlineStr">
        <is>
          <t>원본 21번</t>
        </is>
      </c>
      <c r="F15" s="5" t="inlineStr">
        <is>
          <t>IC 최단 1,333m(신리교차로)</t>
        </is>
      </c>
      <c r="G15" s="5" t="inlineStr">
        <is>
          <t>○</t>
        </is>
      </c>
      <c r="H15" s="5" t="inlineStr">
        <is>
          <t>IC 최단 24m(동탄)</t>
        </is>
      </c>
      <c r="I15" s="5" t="inlineStr">
        <is>
          <t>○</t>
        </is>
      </c>
    </row>
    <row r="16">
      <c r="A16" s="5" t="inlineStr">
        <is>
          <t>공업</t>
        </is>
      </c>
      <c r="B16" s="5" t="inlineStr">
        <is>
          <t>주변환경</t>
        </is>
      </c>
      <c r="C16" s="5" t="inlineStr">
        <is>
          <t>공업지는 시가지와 떨어뜨리고 완충녹지와 확장 여지를 둔다</t>
        </is>
      </c>
      <c r="D16" s="5" t="inlineStr">
        <is>
          <t>기존 주거지 평균거리 ≥ 500m</t>
        </is>
      </c>
      <c r="E16" s="5" t="inlineStr">
        <is>
          <t>원본 21번 · 시행령 제30조</t>
        </is>
      </c>
      <c r="F16" s="5" t="inlineStr">
        <is>
          <t>기존 주거지 497m</t>
        </is>
      </c>
      <c r="G16" s="5" t="inlineStr">
        <is>
          <t>△</t>
        </is>
      </c>
      <c r="H16" s="5" t="inlineStr">
        <is>
          <t>기존 주거지 1,324m</t>
        </is>
      </c>
      <c r="I16" s="5" t="inlineStr">
        <is>
          <t>○</t>
        </is>
      </c>
    </row>
    <row r="17">
      <c r="A17" s="5" t="inlineStr">
        <is>
          <t>공업</t>
        </is>
      </c>
      <c r="B17" s="5" t="inlineStr">
        <is>
          <t>기반시설</t>
        </is>
      </c>
      <c r="C17" s="5" t="inlineStr">
        <is>
          <t>공업지는 폐수·폐기물 처리가 쉽고 용수·동력을 확보할 수 있는 곳에 둔다</t>
        </is>
      </c>
      <c r="D17" s="5" t="inlineStr">
        <is>
          <t>공공하수처리시설 ≤ 5km(OSM 기재 시설 기준)</t>
        </is>
      </c>
      <c r="E17" s="5" t="inlineStr">
        <is>
          <t>원본 21번</t>
        </is>
      </c>
      <c r="F17" s="5" t="inlineStr">
        <is>
          <t>하수처리시설 4.3km</t>
        </is>
      </c>
      <c r="G17" s="5" t="inlineStr">
        <is>
          <t>○</t>
        </is>
      </c>
      <c r="H17" s="5" t="inlineStr">
        <is>
          <t>하수처리시설 10.3km</t>
        </is>
      </c>
      <c r="I17" s="5" t="inlineStr">
        <is>
          <t>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8" customWidth="1" min="4" max="4"/>
  </cols>
  <sheetData>
    <row r="1">
      <c r="A1" s="4" t="inlineStr">
        <is>
          <t>용도</t>
        </is>
      </c>
      <c r="B1" s="4" t="inlineStr">
        <is>
          <t>후보지 A 점수(8점 만점)</t>
        </is>
      </c>
      <c r="C1" s="4" t="inlineStr">
        <is>
          <t>후보지 B 점수(8점 만점)</t>
        </is>
      </c>
      <c r="D1" s="4" t="inlineStr">
        <is>
          <t>우위</t>
        </is>
      </c>
    </row>
    <row r="2">
      <c r="A2" s="5" t="inlineStr">
        <is>
          <t>녹지</t>
        </is>
      </c>
      <c r="B2" s="5" t="n">
        <v>8</v>
      </c>
      <c r="C2" s="5" t="n">
        <v>5</v>
      </c>
      <c r="D2" s="5" t="inlineStr">
        <is>
          <t>A</t>
        </is>
      </c>
    </row>
    <row r="3">
      <c r="A3" s="5" t="inlineStr">
        <is>
          <t>상업업무</t>
        </is>
      </c>
      <c r="B3" s="5" t="n">
        <v>4</v>
      </c>
      <c r="C3" s="5" t="n">
        <v>2</v>
      </c>
      <c r="D3" s="5" t="inlineStr">
        <is>
          <t>A</t>
        </is>
      </c>
    </row>
    <row r="4">
      <c r="A4" s="5" t="inlineStr">
        <is>
          <t>주거</t>
        </is>
      </c>
      <c r="B4" s="5" t="n">
        <v>3</v>
      </c>
      <c r="C4" s="5" t="n">
        <v>3</v>
      </c>
      <c r="D4" s="5" t="inlineStr">
        <is>
          <t>동률</t>
        </is>
      </c>
    </row>
    <row r="5">
      <c r="A5" s="5" t="inlineStr">
        <is>
          <t>공업</t>
        </is>
      </c>
      <c r="B5" s="5" t="n">
        <v>5</v>
      </c>
      <c r="C5" s="5" t="n">
        <v>4</v>
      </c>
      <c r="D5" s="5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2.4" customWidth="1" min="1" max="1"/>
    <col width="44.8" customWidth="1" min="2" max="2"/>
    <col width="11.2" customWidth="1" min="3" max="3"/>
    <col width="8" customWidth="1" min="4" max="4"/>
    <col width="12.8" customWidth="1" min="5" max="5"/>
    <col width="17.6" customWidth="1" min="6" max="6"/>
    <col width="19.2" customWidth="1" min="7" max="7"/>
    <col width="60" customWidth="1" min="8" max="8"/>
    <col width="60" customWidth="1" min="9" max="9"/>
    <col width="46.40000000000001" customWidth="1" min="10" max="10"/>
    <col width="60" customWidth="1" min="11" max="11"/>
    <col width="16" customWidth="1" min="12" max="12"/>
    <col width="54.40000000000001" customWidth="1" min="13" max="13"/>
  </cols>
  <sheetData>
    <row r="1">
      <c r="A1" s="4" t="inlineStr">
        <is>
          <t>지표</t>
        </is>
      </c>
      <c r="B1" s="4" t="inlineStr">
        <is>
          <t>대상</t>
        </is>
      </c>
      <c r="C1" s="4" t="inlineStr">
        <is>
          <t>임계값</t>
        </is>
      </c>
      <c r="D1" s="4" t="inlineStr">
        <is>
          <t>값(%)</t>
        </is>
      </c>
      <c r="E1" s="4" t="inlineStr">
        <is>
          <t>적합면적(ha)</t>
        </is>
      </c>
      <c r="F1" s="4" t="inlineStr">
        <is>
          <t>경사 단독 충족(%)</t>
        </is>
      </c>
      <c r="G1" s="4" t="inlineStr">
        <is>
          <t>향 엄격 적용 시(%)</t>
        </is>
      </c>
      <c r="H1" s="4" t="inlineStr">
        <is>
          <t>판정 조건</t>
        </is>
      </c>
      <c r="I1" s="4" t="inlineStr">
        <is>
          <t>DEM 출처</t>
        </is>
      </c>
      <c r="J1" s="4" t="inlineStr">
        <is>
          <t>해상도</t>
        </is>
      </c>
      <c r="K1" s="4" t="inlineStr">
        <is>
          <t>브이월드 레이어</t>
        </is>
      </c>
      <c r="L1" s="4" t="inlineStr">
        <is>
          <t>조회일</t>
        </is>
      </c>
      <c r="M1" s="4" t="inlineStr">
        <is>
          <t>비고</t>
        </is>
      </c>
    </row>
    <row r="2">
      <c r="A2" s="5" t="inlineStr">
        <is>
          <t>⑥ 경사·향 적합면적 비율</t>
        </is>
      </c>
      <c r="B2" s="5" t="inlineStr">
        <is>
          <t>후보지 A · 장지동 남측(저지대 농림·관리지역)</t>
        </is>
      </c>
      <c r="C2" s="5" t="inlineStr">
        <is>
          <t>하한 10%</t>
        </is>
      </c>
      <c r="D2" s="5" t="n">
        <v>7.1</v>
      </c>
      <c r="E2" s="5" t="n">
        <v>17.8</v>
      </c>
      <c r="F2" s="5" t="n">
        <v>36.2</v>
      </c>
      <c r="G2" s="5" t="n">
        <v>6.1</v>
      </c>
      <c r="H2" s="5" t="inlineStr">
        <is>
          <t>경사 ≤ 10% AND 향 135~225°(경사 2.0% 미만 평탄 셀은 향 무관) AND 표고 ≤ 62.7+50m</t>
        </is>
      </c>
      <c r="I2" s="5" t="inlineStr">
        <is>
          <t>AWS Terrain Tiles (terrarium) — Mapzen/Tilezen, SRTM·기타 공개 DEM 합성</t>
        </is>
      </c>
      <c r="J2" s="5" t="inlineStr">
        <is>
          <t>90m 셀(0.81ha) — z13 타일 평균 재표본</t>
        </is>
      </c>
      <c r="K2" s="5" t="inlineStr">
        <is>
          <t>LT_C_ADSIGG_INFO(경계) · LT_C_UQ111~113(용도지역)</t>
        </is>
      </c>
      <c r="L2" s="5" t="inlineStr">
        <is>
          <t>2026-10-12</t>
        </is>
      </c>
      <c r="M2" s="5" t="inlineStr">
        <is>
          <t>임계값 10·15·25%는 교재 범위(원본 19번) 안의 가정</t>
        </is>
      </c>
    </row>
    <row r="3">
      <c r="A3" s="5" t="inlineStr">
        <is>
          <t>⑥ 경사·향 적합면적 비율</t>
        </is>
      </c>
      <c r="B3" s="5" t="inlineStr">
        <is>
          <t>후보지 A · 장지동 남측(저지대 농림·관리지역)</t>
        </is>
      </c>
      <c r="C3" s="5" t="inlineStr">
        <is>
          <t>기준안 15%</t>
        </is>
      </c>
      <c r="D3" s="5" t="n">
        <v>10.7</v>
      </c>
      <c r="E3" s="5" t="n">
        <v>26.7</v>
      </c>
      <c r="F3" s="5" t="n">
        <v>71.5</v>
      </c>
      <c r="G3" s="5" t="n">
        <v>9.699999999999999</v>
      </c>
      <c r="H3" s="5" t="inlineStr">
        <is>
          <t>경사 ≤ 15% AND 향 135~225°(경사 2.0% 미만 평탄 셀은 향 무관) AND 표고 ≤ 62.7+50m</t>
        </is>
      </c>
      <c r="I3" s="5" t="inlineStr">
        <is>
          <t>AWS Terrain Tiles (terrarium) — Mapzen/Tilezen, SRTM·기타 공개 DEM 합성</t>
        </is>
      </c>
      <c r="J3" s="5" t="inlineStr">
        <is>
          <t>90m 셀(0.81ha) — z13 타일 평균 재표본</t>
        </is>
      </c>
      <c r="K3" s="5" t="inlineStr">
        <is>
          <t>LT_C_ADSIGG_INFO(경계) · LT_C_UQ111~113(용도지역)</t>
        </is>
      </c>
      <c r="L3" s="5" t="inlineStr">
        <is>
          <t>2026-10-12</t>
        </is>
      </c>
      <c r="M3" s="5" t="inlineStr">
        <is>
          <t>임계값 10·15·25%는 교재 범위(원본 19번) 안의 가정</t>
        </is>
      </c>
    </row>
    <row r="4">
      <c r="A4" s="5" t="inlineStr">
        <is>
          <t>⑥ 경사·향 적합면적 비율</t>
        </is>
      </c>
      <c r="B4" s="5" t="inlineStr">
        <is>
          <t>후보지 A · 장지동 남측(저지대 농림·관리지역)</t>
        </is>
      </c>
      <c r="C4" s="5" t="inlineStr">
        <is>
          <t>상한 25%</t>
        </is>
      </c>
      <c r="D4" s="5" t="n">
        <v>13.9</v>
      </c>
      <c r="E4" s="5" t="n">
        <v>34.8</v>
      </c>
      <c r="F4" s="5" t="n">
        <v>99.7</v>
      </c>
      <c r="G4" s="5" t="n">
        <v>12.9</v>
      </c>
      <c r="H4" s="5" t="inlineStr">
        <is>
          <t>경사 ≤ 25% AND 향 135~225°(경사 2.0% 미만 평탄 셀은 향 무관) AND 표고 ≤ 62.7+50m</t>
        </is>
      </c>
      <c r="I4" s="5" t="inlineStr">
        <is>
          <t>AWS Terrain Tiles (terrarium) — Mapzen/Tilezen, SRTM·기타 공개 DEM 합성</t>
        </is>
      </c>
      <c r="J4" s="5" t="inlineStr">
        <is>
          <t>90m 셀(0.81ha) — z13 타일 평균 재표본</t>
        </is>
      </c>
      <c r="K4" s="5" t="inlineStr">
        <is>
          <t>LT_C_ADSIGG_INFO(경계) · LT_C_UQ111~113(용도지역)</t>
        </is>
      </c>
      <c r="L4" s="5" t="inlineStr">
        <is>
          <t>2026-10-12</t>
        </is>
      </c>
      <c r="M4" s="5" t="inlineStr">
        <is>
          <t>임계값 10·15·25%는 교재 범위(원본 19번) 안의 가정</t>
        </is>
      </c>
    </row>
    <row r="5">
      <c r="A5" s="5" t="inlineStr">
        <is>
          <t>⑥ 경사·향 적합면적 비율</t>
        </is>
      </c>
      <c r="B5" s="5" t="inlineStr">
        <is>
          <t>후보지 B · 중동 북동(산지 접경 농림·관리지역)</t>
        </is>
      </c>
      <c r="C5" s="5" t="inlineStr">
        <is>
          <t>하한 10%</t>
        </is>
      </c>
      <c r="D5" s="5" t="n">
        <v>2.5</v>
      </c>
      <c r="E5" s="5" t="n">
        <v>8.9</v>
      </c>
      <c r="F5" s="5" t="n">
        <v>14.2</v>
      </c>
      <c r="G5" s="5" t="n">
        <v>2.2</v>
      </c>
      <c r="H5" s="5" t="inlineStr">
        <is>
          <t>경사 ≤ 10% AND 향 135~225°(경사 2.0% 미만 평탄 셀은 향 무관) AND 표고 ≤ 88.9+50m</t>
        </is>
      </c>
      <c r="I5" s="5" t="inlineStr">
        <is>
          <t>AWS Terrain Tiles (terrarium) — Mapzen/Tilezen, SRTM·기타 공개 DEM 합성</t>
        </is>
      </c>
      <c r="J5" s="5" t="inlineStr">
        <is>
          <t>90m 셀(0.81ha) — z13 타일 평균 재표본</t>
        </is>
      </c>
      <c r="K5" s="5" t="inlineStr">
        <is>
          <t>LT_C_ADSIGG_INFO(경계) · LT_C_UQ111~113(용도지역)</t>
        </is>
      </c>
      <c r="L5" s="5" t="inlineStr">
        <is>
          <t>2026-10-12</t>
        </is>
      </c>
      <c r="M5" s="5" t="inlineStr">
        <is>
          <t>임계값 10·15·25%는 교재 범위(원본 19번) 안의 가정</t>
        </is>
      </c>
    </row>
    <row r="6">
      <c r="A6" s="5" t="inlineStr">
        <is>
          <t>⑥ 경사·향 적합면적 비율</t>
        </is>
      </c>
      <c r="B6" s="5" t="inlineStr">
        <is>
          <t>후보지 B · 중동 북동(산지 접경 농림·관리지역)</t>
        </is>
      </c>
      <c r="C6" s="5" t="inlineStr">
        <is>
          <t>기준안 15%</t>
        </is>
      </c>
      <c r="D6" s="5" t="n">
        <v>5.4</v>
      </c>
      <c r="E6" s="5" t="n">
        <v>19.4</v>
      </c>
      <c r="F6" s="5" t="n">
        <v>31.5</v>
      </c>
      <c r="G6" s="5" t="n">
        <v>5.2</v>
      </c>
      <c r="H6" s="5" t="inlineStr">
        <is>
          <t>경사 ≤ 15% AND 향 135~225°(경사 2.0% 미만 평탄 셀은 향 무관) AND 표고 ≤ 88.9+50m</t>
        </is>
      </c>
      <c r="I6" s="5" t="inlineStr">
        <is>
          <t>AWS Terrain Tiles (terrarium) — Mapzen/Tilezen, SRTM·기타 공개 DEM 합성</t>
        </is>
      </c>
      <c r="J6" s="5" t="inlineStr">
        <is>
          <t>90m 셀(0.81ha) — z13 타일 평균 재표본</t>
        </is>
      </c>
      <c r="K6" s="5" t="inlineStr">
        <is>
          <t>LT_C_ADSIGG_INFO(경계) · LT_C_UQ111~113(용도지역)</t>
        </is>
      </c>
      <c r="L6" s="5" t="inlineStr">
        <is>
          <t>2026-10-12</t>
        </is>
      </c>
      <c r="M6" s="5" t="inlineStr">
        <is>
          <t>임계값 10·15·25%는 교재 범위(원본 19번) 안의 가정</t>
        </is>
      </c>
    </row>
    <row r="7">
      <c r="A7" s="5" t="inlineStr">
        <is>
          <t>⑥ 경사·향 적합면적 비율</t>
        </is>
      </c>
      <c r="B7" s="5" t="inlineStr">
        <is>
          <t>후보지 B · 중동 북동(산지 접경 농림·관리지역)</t>
        </is>
      </c>
      <c r="C7" s="5" t="inlineStr">
        <is>
          <t>상한 25%</t>
        </is>
      </c>
      <c r="D7" s="5" t="n">
        <v>7.6</v>
      </c>
      <c r="E7" s="5" t="n">
        <v>27.5</v>
      </c>
      <c r="F7" s="5" t="n">
        <v>66.5</v>
      </c>
      <c r="G7" s="5" t="n">
        <v>7.4</v>
      </c>
      <c r="H7" s="5" t="inlineStr">
        <is>
          <t>경사 ≤ 25% AND 향 135~225°(경사 2.0% 미만 평탄 셀은 향 무관) AND 표고 ≤ 88.9+50m</t>
        </is>
      </c>
      <c r="I7" s="5" t="inlineStr">
        <is>
          <t>AWS Terrain Tiles (terrarium) — Mapzen/Tilezen, SRTM·기타 공개 DEM 합성</t>
        </is>
      </c>
      <c r="J7" s="5" t="inlineStr">
        <is>
          <t>90m 셀(0.81ha) — z13 타일 평균 재표본</t>
        </is>
      </c>
      <c r="K7" s="5" t="inlineStr">
        <is>
          <t>LT_C_ADSIGG_INFO(경계) · LT_C_UQ111~113(용도지역)</t>
        </is>
      </c>
      <c r="L7" s="5" t="inlineStr">
        <is>
          <t>2026-10-12</t>
        </is>
      </c>
      <c r="M7" s="5" t="inlineStr">
        <is>
          <t>임계값 10·15·25%는 교재 범위(원본 19번) 안의 가정</t>
        </is>
      </c>
    </row>
    <row r="8">
      <c r="A8" s="5" t="inlineStr">
        <is>
          <t>⑥ 경사·향 적합면적 비율</t>
        </is>
      </c>
      <c r="B8" s="5" t="inlineStr">
        <is>
          <t>화성시 동탄구 전체(참고)</t>
        </is>
      </c>
      <c r="C8" s="5" t="inlineStr">
        <is>
          <t>하한 10%</t>
        </is>
      </c>
      <c r="D8" s="5" t="n">
        <v>25.6</v>
      </c>
      <c r="E8" s="5" t="n">
        <v>1423.2</v>
      </c>
      <c r="F8" s="5" t="n">
        <v>54.4</v>
      </c>
      <c r="G8" s="5" t="n">
        <v>16.5</v>
      </c>
      <c r="H8" s="5" t="inlineStr">
        <is>
          <t>경사 ≤ 10% AND 향 135~225°(경사 2.0% 미만 평탄 셀은 향 무관) AND 표고 ≤ 57.4+50m</t>
        </is>
      </c>
      <c r="I8" s="5" t="inlineStr">
        <is>
          <t>AWS Terrain Tiles (terrarium) — Mapzen/Tilezen, SRTM·기타 공개 DEM 합성</t>
        </is>
      </c>
      <c r="J8" s="5" t="inlineStr">
        <is>
          <t>90m 셀(0.81ha) — z13 타일 평균 재표본</t>
        </is>
      </c>
      <c r="K8" s="5" t="inlineStr">
        <is>
          <t>LT_C_ADSIGG_INFO(경계) · LT_C_UQ111~113(용도지역)</t>
        </is>
      </c>
      <c r="L8" s="5" t="inlineStr">
        <is>
          <t>2026-10-12</t>
        </is>
      </c>
      <c r="M8" s="5" t="inlineStr">
        <is>
          <t>임계값 10·15·25%는 교재 범위(원본 19번) 안의 가정</t>
        </is>
      </c>
    </row>
    <row r="9">
      <c r="A9" s="5" t="inlineStr">
        <is>
          <t>⑥ 경사·향 적합면적 비율</t>
        </is>
      </c>
      <c r="B9" s="5" t="inlineStr">
        <is>
          <t>화성시 동탄구 전체(참고)</t>
        </is>
      </c>
      <c r="C9" s="5" t="inlineStr">
        <is>
          <t>기준안 15%</t>
        </is>
      </c>
      <c r="D9" s="5" t="n">
        <v>29.8</v>
      </c>
      <c r="E9" s="5" t="n">
        <v>1655.6</v>
      </c>
      <c r="F9" s="5" t="n">
        <v>74.2</v>
      </c>
      <c r="G9" s="5" t="n">
        <v>20.7</v>
      </c>
      <c r="H9" s="5" t="inlineStr">
        <is>
          <t>경사 ≤ 15% AND 향 135~225°(경사 2.0% 미만 평탄 셀은 향 무관) AND 표고 ≤ 57.4+50m</t>
        </is>
      </c>
      <c r="I9" s="5" t="inlineStr">
        <is>
          <t>AWS Terrain Tiles (terrarium) — Mapzen/Tilezen, SRTM·기타 공개 DEM 합성</t>
        </is>
      </c>
      <c r="J9" s="5" t="inlineStr">
        <is>
          <t>90m 셀(0.81ha) — z13 타일 평균 재표본</t>
        </is>
      </c>
      <c r="K9" s="5" t="inlineStr">
        <is>
          <t>LT_C_ADSIGG_INFO(경계) · LT_C_UQ111~113(용도지역)</t>
        </is>
      </c>
      <c r="L9" s="5" t="inlineStr">
        <is>
          <t>2026-10-12</t>
        </is>
      </c>
      <c r="M9" s="5" t="inlineStr">
        <is>
          <t>임계값 10·15·25%는 교재 범위(원본 19번) 안의 가정</t>
        </is>
      </c>
    </row>
    <row r="10">
      <c r="A10" s="5" t="inlineStr">
        <is>
          <t>⑥ 경사·향 적합면적 비율</t>
        </is>
      </c>
      <c r="B10" s="5" t="inlineStr">
        <is>
          <t>화성시 동탄구 전체(참고)</t>
        </is>
      </c>
      <c r="C10" s="5" t="inlineStr">
        <is>
          <t>상한 25%</t>
        </is>
      </c>
      <c r="D10" s="5" t="n">
        <v>32</v>
      </c>
      <c r="E10" s="5" t="n">
        <v>1778.8</v>
      </c>
      <c r="F10" s="5" t="n">
        <v>94.7</v>
      </c>
      <c r="G10" s="5" t="n">
        <v>22.9</v>
      </c>
      <c r="H10" s="5" t="inlineStr">
        <is>
          <t>경사 ≤ 25% AND 향 135~225°(경사 2.0% 미만 평탄 셀은 향 무관) AND 표고 ≤ 57.4+50m</t>
        </is>
      </c>
      <c r="I10" s="5" t="inlineStr">
        <is>
          <t>AWS Terrain Tiles (terrarium) — Mapzen/Tilezen, SRTM·기타 공개 DEM 합성</t>
        </is>
      </c>
      <c r="J10" s="5" t="inlineStr">
        <is>
          <t>90m 셀(0.81ha) — z13 타일 평균 재표본</t>
        </is>
      </c>
      <c r="K10" s="5" t="inlineStr">
        <is>
          <t>LT_C_ADSIGG_INFO(경계) · LT_C_UQ111~113(용도지역)</t>
        </is>
      </c>
      <c r="L10" s="5" t="inlineStr">
        <is>
          <t>2026-10-12</t>
        </is>
      </c>
      <c r="M10" s="5" t="inlineStr">
        <is>
          <t>임계값 10·15·25%는 교재 범위(원본 19번) 안의 가정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3.6" customWidth="1" min="1" max="1"/>
    <col width="43.2" customWidth="1" min="2" max="2"/>
    <col width="44.8" customWidth="1" min="3" max="3"/>
    <col width="22.4" customWidth="1" min="4" max="4"/>
  </cols>
  <sheetData>
    <row r="1">
      <c r="A1" s="4" t="inlineStr"/>
      <c r="B1" s="4" t="inlineStr">
        <is>
          <t>A</t>
        </is>
      </c>
      <c r="C1" s="4" t="inlineStr">
        <is>
          <t>B</t>
        </is>
      </c>
      <c r="D1" s="4" t="inlineStr">
        <is>
          <t>GU</t>
        </is>
      </c>
    </row>
    <row r="2">
      <c r="A2" s="5" t="inlineStr">
        <is>
          <t>이름</t>
        </is>
      </c>
      <c r="B2" s="5" t="inlineStr">
        <is>
          <t>후보지 A · 장지동 남측(저지대 농림·관리지역)</t>
        </is>
      </c>
      <c r="C2" s="5" t="inlineStr">
        <is>
          <t>후보지 B · 중동 북동(산지 접경 농림·관리지역)</t>
        </is>
      </c>
      <c r="D2" s="5" t="inlineStr">
        <is>
          <t>화성시 동탄구 전체(참고)</t>
        </is>
      </c>
    </row>
    <row r="3">
      <c r="A3" s="5" t="inlineStr">
        <is>
          <t>면적(ha·폴리곤)</t>
        </is>
      </c>
      <c r="B3" s="5" t="inlineStr">
        <is>
          <t>249.7</t>
        </is>
      </c>
      <c r="C3" s="5" t="inlineStr">
        <is>
          <t>355.1</t>
        </is>
      </c>
      <c r="D3" s="5" t="inlineStr">
        <is>
          <t>5556.9</t>
        </is>
      </c>
    </row>
    <row r="4">
      <c r="A4" s="5" t="inlineStr">
        <is>
          <t>격자 셀 수</t>
        </is>
      </c>
      <c r="B4" s="5" t="inlineStr">
        <is>
          <t>309</t>
        </is>
      </c>
      <c r="C4" s="5" t="inlineStr">
        <is>
          <t>445</t>
        </is>
      </c>
      <c r="D4" s="5" t="inlineStr">
        <is>
          <t>6857</t>
        </is>
      </c>
    </row>
    <row r="5">
      <c r="A5" s="5" t="inlineStr">
        <is>
          <t>격자 면적(ha)</t>
        </is>
      </c>
      <c r="B5" s="5" t="inlineStr">
        <is>
          <t>250.3</t>
        </is>
      </c>
      <c r="C5" s="5" t="inlineStr">
        <is>
          <t>360.5</t>
        </is>
      </c>
      <c r="D5" s="5" t="inlineStr">
        <is>
          <t>5554.2</t>
        </is>
      </c>
    </row>
    <row r="6">
      <c r="A6" s="5" t="inlineStr">
        <is>
          <t>표고 최저(m)</t>
        </is>
      </c>
      <c r="B6" s="5" t="inlineStr">
        <is>
          <t>37.7</t>
        </is>
      </c>
      <c r="C6" s="5" t="inlineStr">
        <is>
          <t>87.0</t>
        </is>
      </c>
      <c r="D6" s="5" t="inlineStr">
        <is>
          <t>18.2</t>
        </is>
      </c>
    </row>
    <row r="7">
      <c r="A7" s="5" t="inlineStr">
        <is>
          <t>표고 평균(m)</t>
        </is>
      </c>
      <c r="B7" s="5" t="inlineStr">
        <is>
          <t>82.8</t>
        </is>
      </c>
      <c r="C7" s="5" t="inlineStr">
        <is>
          <t>180.3</t>
        </is>
      </c>
      <c r="D7" s="5" t="inlineStr">
        <is>
          <t>83.0</t>
        </is>
      </c>
    </row>
    <row r="8">
      <c r="A8" s="5" t="inlineStr">
        <is>
          <t>표고 최고(m)</t>
        </is>
      </c>
      <c r="B8" s="5" t="inlineStr">
        <is>
          <t>138.3</t>
        </is>
      </c>
      <c r="C8" s="5" t="inlineStr">
        <is>
          <t>336.5</t>
        </is>
      </c>
      <c r="D8" s="5" t="inlineStr">
        <is>
          <t>337.1</t>
        </is>
      </c>
    </row>
    <row r="9">
      <c r="A9" s="5" t="inlineStr">
        <is>
          <t>기반시설 기준표고(m)</t>
        </is>
      </c>
      <c r="B9" s="5" t="inlineStr">
        <is>
          <t>62.7</t>
        </is>
      </c>
      <c r="C9" s="5" t="inlineStr">
        <is>
          <t>88.9</t>
        </is>
      </c>
      <c r="D9" s="5" t="inlineStr">
        <is>
          <t>57.4</t>
        </is>
      </c>
    </row>
    <row r="10">
      <c r="A10" s="5" t="inlineStr">
        <is>
          <t>경사 평균(%)</t>
        </is>
      </c>
      <c r="B10" s="5" t="inlineStr">
        <is>
          <t>11.9</t>
        </is>
      </c>
      <c r="C10" s="5" t="inlineStr">
        <is>
          <t>20.7</t>
        </is>
      </c>
      <c r="D10" s="5" t="inlineStr">
        <is>
          <t>10.6</t>
        </is>
      </c>
    </row>
    <row r="11">
      <c r="A11" s="5" t="inlineStr">
        <is>
          <t>경사 ≤5% 비율(%)</t>
        </is>
      </c>
      <c r="B11" s="5" t="inlineStr">
        <is>
          <t>9.7</t>
        </is>
      </c>
      <c r="C11" s="5" t="inlineStr">
        <is>
          <t>4.3</t>
        </is>
      </c>
      <c r="D11" s="5" t="inlineStr">
        <is>
          <t>27.9</t>
        </is>
      </c>
    </row>
    <row r="12">
      <c r="A12" s="5" t="inlineStr">
        <is>
          <t>경사 ≤10% 비율(%)</t>
        </is>
      </c>
      <c r="B12" s="5" t="inlineStr">
        <is>
          <t>36.2</t>
        </is>
      </c>
      <c r="C12" s="5" t="inlineStr">
        <is>
          <t>14.2</t>
        </is>
      </c>
      <c r="D12" s="5" t="inlineStr">
        <is>
          <t>54.4</t>
        </is>
      </c>
    </row>
    <row r="13">
      <c r="A13" s="5" t="inlineStr">
        <is>
          <t>경사 ≤15% 비율(%)</t>
        </is>
      </c>
      <c r="B13" s="5" t="inlineStr">
        <is>
          <t>71.5</t>
        </is>
      </c>
      <c r="C13" s="5" t="inlineStr">
        <is>
          <t>31.5</t>
        </is>
      </c>
      <c r="D13" s="5" t="inlineStr">
        <is>
          <t>74.2</t>
        </is>
      </c>
    </row>
    <row r="14">
      <c r="A14" s="5" t="inlineStr">
        <is>
          <t>경사 &gt;25% 비율(%)</t>
        </is>
      </c>
      <c r="B14" s="5" t="inlineStr">
        <is>
          <t>0.3</t>
        </is>
      </c>
      <c r="C14" s="5" t="inlineStr">
        <is>
          <t>33.5</t>
        </is>
      </c>
      <c r="D14" s="5" t="inlineStr">
        <is>
          <t>5.3</t>
        </is>
      </c>
    </row>
    <row r="15">
      <c r="A15" s="5" t="inlineStr">
        <is>
          <t>남향(135~225°) 셀 비율(%)</t>
        </is>
      </c>
      <c r="B15" s="5" t="inlineStr">
        <is>
          <t>13.3</t>
        </is>
      </c>
      <c r="C15" s="5" t="inlineStr">
        <is>
          <t>31.9</t>
        </is>
      </c>
      <c r="D15" s="5" t="inlineStr">
        <is>
          <t>29.9</t>
        </is>
      </c>
    </row>
    <row r="16">
      <c r="A16" s="5" t="inlineStr">
        <is>
          <t>간선도로 평균거리(m)</t>
        </is>
      </c>
      <c r="B16" s="5" t="inlineStr">
        <is>
          <t>568</t>
        </is>
      </c>
      <c r="C16" s="5" t="inlineStr">
        <is>
          <t>497</t>
        </is>
      </c>
      <c r="D16" s="5" t="inlineStr">
        <is>
          <t>544</t>
        </is>
      </c>
    </row>
    <row r="17">
      <c r="A17" s="5" t="inlineStr">
        <is>
          <t>IC 최단거리(m)</t>
        </is>
      </c>
      <c r="B17" s="5" t="inlineStr">
        <is>
          <t>1333</t>
        </is>
      </c>
      <c r="C17" s="5" t="inlineStr">
        <is>
          <t>24</t>
        </is>
      </c>
      <c r="D17" s="5" t="inlineStr">
        <is>
          <t>24</t>
        </is>
      </c>
    </row>
    <row r="18">
      <c r="A18" s="5" t="inlineStr">
        <is>
          <t>IC 평균거리(m)</t>
        </is>
      </c>
      <c r="B18" s="5" t="inlineStr">
        <is>
          <t>2030</t>
        </is>
      </c>
      <c r="C18" s="5" t="inlineStr">
        <is>
          <t>732</t>
        </is>
      </c>
      <c r="D18" s="5" t="inlineStr">
        <is>
          <t>1290</t>
        </is>
      </c>
    </row>
    <row r="19">
      <c r="A19" s="5" t="inlineStr">
        <is>
          <t>IC 최근접</t>
        </is>
      </c>
      <c r="B19" s="5" t="inlineStr">
        <is>
          <t>신리교차로</t>
        </is>
      </c>
      <c r="C19" s="5" t="inlineStr">
        <is>
          <t>동탄</t>
        </is>
      </c>
      <c r="D19" s="5" t="inlineStr">
        <is>
          <t>동탄분기점</t>
        </is>
      </c>
    </row>
    <row r="20">
      <c r="A20" s="5" t="inlineStr">
        <is>
          <t>철도역 평균거리(m)</t>
        </is>
      </c>
      <c r="B20" s="5" t="inlineStr">
        <is>
          <t>3961</t>
        </is>
      </c>
      <c r="C20" s="5" t="inlineStr">
        <is>
          <t>3969</t>
        </is>
      </c>
      <c r="D20" s="5" t="inlineStr">
        <is>
          <t>2858</t>
        </is>
      </c>
    </row>
    <row r="21">
      <c r="A21" s="5" t="inlineStr">
        <is>
          <t>철도역 최근접</t>
        </is>
      </c>
      <c r="B21" s="5" t="inlineStr">
        <is>
          <t>오산</t>
        </is>
      </c>
      <c r="C21" s="5" t="inlineStr">
        <is>
          <t>삼가</t>
        </is>
      </c>
      <c r="D21" s="5" t="inlineStr">
        <is>
          <t>동탄</t>
        </is>
      </c>
    </row>
    <row r="22">
      <c r="A22" s="5" t="inlineStr">
        <is>
          <t>하천 평균거리(m)</t>
        </is>
      </c>
      <c r="B22" s="5" t="inlineStr">
        <is>
          <t>1603</t>
        </is>
      </c>
      <c r="C22" s="5" t="inlineStr">
        <is>
          <t>1398</t>
        </is>
      </c>
      <c r="D22" s="5" t="inlineStr">
        <is>
          <t>902</t>
        </is>
      </c>
    </row>
    <row r="23">
      <c r="A23" s="5" t="inlineStr">
        <is>
          <t>하천 100m 이내 셀(%)</t>
        </is>
      </c>
      <c r="B23" s="5" t="inlineStr">
        <is>
          <t>0.0</t>
        </is>
      </c>
      <c r="C23" s="5" t="inlineStr">
        <is>
          <t>0.0</t>
        </is>
      </c>
      <c r="D23" s="5" t="inlineStr">
        <is>
          <t>7.0</t>
        </is>
      </c>
    </row>
    <row r="24">
      <c r="A24" s="5" t="inlineStr">
        <is>
          <t>기존 주거지역 평균거리(m)</t>
        </is>
      </c>
      <c r="B24" s="5" t="inlineStr">
        <is>
          <t>497</t>
        </is>
      </c>
      <c r="C24" s="5" t="inlineStr">
        <is>
          <t>1324</t>
        </is>
      </c>
      <c r="D24" s="5" t="inlineStr">
        <is>
          <t>248</t>
        </is>
      </c>
    </row>
    <row r="25">
      <c r="A25" s="5" t="inlineStr">
        <is>
          <t>기존 시가지 인접 셀(≤300m, %)</t>
        </is>
      </c>
      <c r="B25" s="5" t="inlineStr">
        <is>
          <t>35.3</t>
        </is>
      </c>
      <c r="C25" s="5" t="inlineStr">
        <is>
          <t>0.7</t>
        </is>
      </c>
      <c r="D25" s="5" t="inlineStr">
        <is>
          <t>78.3</t>
        </is>
      </c>
    </row>
    <row r="26">
      <c r="A26" s="5" t="inlineStr">
        <is>
          <t>하수처리시설 평균거리(m)</t>
        </is>
      </c>
      <c r="B26" s="5" t="inlineStr">
        <is>
          <t>4252</t>
        </is>
      </c>
      <c r="C26" s="5" t="inlineStr">
        <is>
          <t>10298</t>
        </is>
      </c>
      <c r="D26" s="5" t="inlineStr">
        <is>
          <t>7048</t>
        </is>
      </c>
    </row>
    <row r="27">
      <c r="A27" s="5" t="inlineStr">
        <is>
          <t>기결정 공원·녹지시설(ha)</t>
        </is>
      </c>
      <c r="B27" s="5" t="inlineStr">
        <is>
          <t>24.1</t>
        </is>
      </c>
      <c r="C27" s="5" t="inlineStr">
        <is>
          <t>16.3</t>
        </is>
      </c>
      <c r="D27" s="5" t="inlineStr">
        <is>
          <t>1041.4</t>
        </is>
      </c>
    </row>
    <row r="28">
      <c r="A28" s="5" t="inlineStr">
        <is>
          <t>용도지역 녹지(ha)</t>
        </is>
      </c>
      <c r="B28" s="5" t="inlineStr">
        <is>
          <t>28.9</t>
        </is>
      </c>
      <c r="C28" s="5" t="inlineStr">
        <is>
          <t>0.1</t>
        </is>
      </c>
      <c r="D28" s="5" t="inlineStr">
        <is>
          <t>1657.6</t>
        </is>
      </c>
    </row>
    <row r="29">
      <c r="A29" s="5" t="inlineStr">
        <is>
          <t>용도지역 관리(ha)</t>
        </is>
      </c>
      <c r="B29" s="5" t="inlineStr">
        <is>
          <t>56.0</t>
        </is>
      </c>
      <c r="C29" s="5" t="inlineStr">
        <is>
          <t>168.2</t>
        </is>
      </c>
      <c r="D29" s="5" t="inlineStr">
        <is>
          <t>1027.2</t>
        </is>
      </c>
    </row>
    <row r="30">
      <c r="A30" s="5" t="inlineStr">
        <is>
          <t>용도지역 농림(ha)</t>
        </is>
      </c>
      <c r="B30" s="5" t="inlineStr">
        <is>
          <t>156.5</t>
        </is>
      </c>
      <c r="C30" s="5" t="inlineStr">
        <is>
          <t>187.3</t>
        </is>
      </c>
      <c r="D30" s="5" t="inlineStr">
        <is>
          <t>623.9</t>
        </is>
      </c>
    </row>
    <row r="31">
      <c r="A31" s="5" t="inlineStr">
        <is>
          <t>용도지역 자연환경보전(ha)</t>
        </is>
      </c>
      <c r="B31" s="5" t="inlineStr">
        <is>
          <t>0</t>
        </is>
      </c>
      <c r="C31" s="5" t="inlineStr">
        <is>
          <t>0</t>
        </is>
      </c>
      <c r="D31" s="5" t="inlineStr">
        <is>
          <t>0</t>
        </is>
      </c>
    </row>
    <row r="32">
      <c r="A32" s="5" t="inlineStr">
        <is>
          <t>용도지역 주거(ha)</t>
        </is>
      </c>
      <c r="B32" s="5" t="inlineStr">
        <is>
          <t>0.0</t>
        </is>
      </c>
      <c r="C32" s="5" t="inlineStr">
        <is>
          <t>0.0</t>
        </is>
      </c>
      <c r="D32" s="5" t="inlineStr">
        <is>
          <t>1883.6</t>
        </is>
      </c>
    </row>
    <row r="33">
      <c r="A33" s="5" t="inlineStr">
        <is>
          <t>용도지역 상업(ha)</t>
        </is>
      </c>
      <c r="B33" s="5" t="inlineStr">
        <is>
          <t>0.0</t>
        </is>
      </c>
      <c r="C33" s="5" t="inlineStr">
        <is>
          <t>0.0</t>
        </is>
      </c>
      <c r="D33" s="5" t="inlineStr">
        <is>
          <t>278.0</t>
        </is>
      </c>
    </row>
    <row r="34">
      <c r="A34" s="5" t="inlineStr">
        <is>
          <t>용도지역 공업(ha)</t>
        </is>
      </c>
      <c r="B34" s="5" t="inlineStr">
        <is>
          <t>0.0</t>
        </is>
      </c>
      <c r="C34" s="5" t="inlineStr">
        <is>
          <t>0.0</t>
        </is>
      </c>
      <c r="D34" s="5" t="inlineStr">
        <is>
          <t>238.3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.6" customWidth="1" min="1" max="1"/>
    <col width="60" customWidth="1" min="2" max="2"/>
    <col width="16" customWidth="1" min="3" max="3"/>
    <col width="16" customWidth="1" min="4" max="4"/>
    <col width="14.4" customWidth="1" min="5" max="5"/>
    <col width="19.2" customWidth="1" min="6" max="6"/>
    <col width="8" customWidth="1" min="7" max="7"/>
  </cols>
  <sheetData>
    <row r="1">
      <c r="A1" s="4" t="inlineStr">
        <is>
          <t>layer</t>
        </is>
      </c>
      <c r="B1" s="4" t="inlineStr">
        <is>
          <t>request_url_without_key</t>
        </is>
      </c>
      <c r="C1" s="4" t="inlineStr">
        <is>
          <t>key_env</t>
        </is>
      </c>
      <c r="D1" s="4" t="inlineStr">
        <is>
          <t>queried_on</t>
        </is>
      </c>
      <c r="E1" s="4" t="inlineStr">
        <is>
          <t>status</t>
        </is>
      </c>
      <c r="F1" s="4" t="inlineStr">
        <is>
          <t>record_total</t>
        </is>
      </c>
      <c r="G1" s="4" t="inlineStr">
        <is>
          <t>note</t>
        </is>
      </c>
    </row>
    <row r="2">
      <c r="A2" s="5" t="inlineStr">
        <is>
          <t>LT_C_ADSIGG_INFO</t>
        </is>
      </c>
      <c r="B2" s="5" t="inlineStr">
        <is>
          <t>https://api.vworld.kr/req/data?service=data&amp;version=2.0&amp;request=GetFeature&amp;data=LT_C_ADSIGG_INFO&amp;domain=localhost&amp;geomFilter=BOX%28126.9%2C37.0%2C127.3%2C37.4%29&amp;crs=EPSG%3A4326&amp;format=json&amp;geometry=true&amp;size=1000&amp;page=1&amp;attrFilter=sig_cd%3A%3D%3A41597</t>
        </is>
      </c>
      <c r="C2" s="5" t="inlineStr">
        <is>
          <t>VWORLD_KEY</t>
        </is>
      </c>
      <c r="D2" s="5" t="inlineStr">
        <is>
          <t>2026-10-12</t>
        </is>
      </c>
      <c r="E2" s="5" t="inlineStr">
        <is>
          <t>OK</t>
        </is>
      </c>
      <c r="F2" s="5" t="n">
        <v>1</v>
      </c>
      <c r="G2" s="5" t="n"/>
    </row>
    <row r="3">
      <c r="A3" s="5" t="inlineStr">
        <is>
          <t>LT_C_ADEMD_INFO</t>
        </is>
      </c>
      <c r="B3" s="5" t="inlineStr">
        <is>
          <t>https://api.vworld.kr/req/data?service=data&amp;version=2.0&amp;request=GetFeature&amp;data=LT_C_ADEMD_INFO&amp;domain=localhost&amp;geomFilter=BOX%28127.04872%2C37.14173%2C127.16137%2C37.22617%29&amp;crs=EPSG%3A4326&amp;format=json&amp;geometry=true&amp;size=1000&amp;page=1</t>
        </is>
      </c>
      <c r="C3" s="5" t="inlineStr">
        <is>
          <t>VWORLD_KEY</t>
        </is>
      </c>
      <c r="D3" s="5" t="inlineStr">
        <is>
          <t>2026-10-12</t>
        </is>
      </c>
      <c r="E3" s="5" t="inlineStr">
        <is>
          <t>OK</t>
        </is>
      </c>
      <c r="F3" s="5" t="n">
        <v>40</v>
      </c>
      <c r="G3" s="5" t="n"/>
    </row>
    <row r="4">
      <c r="A4" s="5" t="inlineStr">
        <is>
          <t>LT_C_UQ111</t>
        </is>
      </c>
      <c r="B4" s="5" t="inlineStr">
        <is>
          <t>https://api.vworld.kr/req/data?service=data&amp;version=2.0&amp;request=GetFeature&amp;data=LT_C_UQ111&amp;domain=localhost&amp;geomFilter=BOX%28127.04872%2C37.14173%2C127.16137%2C37.22617%29&amp;crs=EPSG%3A4326&amp;format=json&amp;geometry=true&amp;size=1000&amp;page=1</t>
        </is>
      </c>
      <c r="C4" s="5" t="inlineStr">
        <is>
          <t>VWORLD_KEY</t>
        </is>
      </c>
      <c r="D4" s="5" t="inlineStr">
        <is>
          <t>2026-10-12</t>
        </is>
      </c>
      <c r="E4" s="5" t="inlineStr">
        <is>
          <t>OK</t>
        </is>
      </c>
      <c r="F4" s="5" t="n">
        <v>652</v>
      </c>
      <c r="G4" s="5" t="n"/>
    </row>
    <row r="5">
      <c r="A5" s="5" t="inlineStr">
        <is>
          <t>LT_C_UQ112</t>
        </is>
      </c>
      <c r="B5" s="5" t="inlineStr">
        <is>
          <t>https://api.vworld.kr/req/data?service=data&amp;version=2.0&amp;request=GetFeature&amp;data=LT_C_UQ112&amp;domain=localhost&amp;geomFilter=BOX%28127.04872%2C37.14173%2C127.16137%2C37.22617%29&amp;crs=EPSG%3A4326&amp;format=json&amp;geometry=true&amp;size=1000&amp;page=1</t>
        </is>
      </c>
      <c r="C5" s="5" t="inlineStr">
        <is>
          <t>VWORLD_KEY</t>
        </is>
      </c>
      <c r="D5" s="5" t="inlineStr">
        <is>
          <t>2026-10-12</t>
        </is>
      </c>
      <c r="E5" s="5" t="inlineStr">
        <is>
          <t>OK</t>
        </is>
      </c>
      <c r="F5" s="5" t="n">
        <v>185</v>
      </c>
      <c r="G5" s="5" t="n"/>
    </row>
    <row r="6">
      <c r="A6" s="5" t="inlineStr">
        <is>
          <t>LT_C_UQ113</t>
        </is>
      </c>
      <c r="B6" s="5" t="inlineStr">
        <is>
          <t>https://api.vworld.kr/req/data?service=data&amp;version=2.0&amp;request=GetFeature&amp;data=LT_C_UQ113&amp;domain=localhost&amp;geomFilter=BOX%28127.04872%2C37.14173%2C127.16137%2C37.22617%29&amp;crs=EPSG%3A4326&amp;format=json&amp;geometry=true&amp;size=1000&amp;page=1</t>
        </is>
      </c>
      <c r="C6" s="5" t="inlineStr">
        <is>
          <t>VWORLD_KEY</t>
        </is>
      </c>
      <c r="D6" s="5" t="inlineStr">
        <is>
          <t>2026-10-12</t>
        </is>
      </c>
      <c r="E6" s="5" t="inlineStr">
        <is>
          <t>OK</t>
        </is>
      </c>
      <c r="F6" s="5" t="n">
        <v>23</v>
      </c>
      <c r="G6" s="5" t="n"/>
    </row>
    <row r="7">
      <c r="A7" s="5" t="inlineStr">
        <is>
          <t>LT_C_UQ114</t>
        </is>
      </c>
      <c r="B7" s="5" t="inlineStr">
        <is>
          <t>https://api.vworld.kr/req/data?service=data&amp;version=2.0&amp;request=GetFeature&amp;data=LT_C_UQ114&amp;domain=localhost&amp;geomFilter=BOX%28127.04872%2C37.14173%2C127.16137%2C37.22617%29&amp;crs=EPSG%3A4326&amp;format=json&amp;geometry=true&amp;size=1000&amp;page=1</t>
        </is>
      </c>
      <c r="C7" s="5" t="inlineStr">
        <is>
          <t>VWORLD_KEY</t>
        </is>
      </c>
      <c r="D7" s="5" t="inlineStr">
        <is>
          <t>2026-10-12</t>
        </is>
      </c>
      <c r="E7" s="5" t="inlineStr">
        <is>
          <t>NOT_FOUND</t>
        </is>
      </c>
      <c r="F7" s="5" t="n">
        <v>0</v>
      </c>
      <c r="G7" s="5" t="n"/>
    </row>
    <row r="8">
      <c r="A8" s="5" t="inlineStr">
        <is>
          <t>LT_C_UD801</t>
        </is>
      </c>
      <c r="B8" s="5" t="inlineStr">
        <is>
          <t>https://api.vworld.kr/req/data?service=data&amp;version=2.0&amp;request=GetFeature&amp;data=LT_C_UD801&amp;domain=localhost&amp;geomFilter=BOX%28127.04872%2C37.14173%2C127.16137%2C37.22617%29&amp;crs=EPSG%3A4326&amp;format=json&amp;geometry=true&amp;size=1000&amp;page=1</t>
        </is>
      </c>
      <c r="C8" s="5" t="inlineStr">
        <is>
          <t>VWORLD_KEY</t>
        </is>
      </c>
      <c r="D8" s="5" t="inlineStr">
        <is>
          <t>2026-10-12</t>
        </is>
      </c>
      <c r="E8" s="5" t="inlineStr">
        <is>
          <t>NOT_FOUND</t>
        </is>
      </c>
      <c r="F8" s="5" t="n">
        <v>0</v>
      </c>
      <c r="G8" s="5" t="n"/>
    </row>
    <row r="9">
      <c r="A9" s="5" t="inlineStr">
        <is>
          <t>LT_C_UPISUQ153</t>
        </is>
      </c>
      <c r="B9" s="5" t="inlineStr">
        <is>
          <t>https://api.vworld.kr/req/data?service=data&amp;version=2.0&amp;request=GetFeature&amp;data=LT_C_UPISUQ153&amp;domain=localhost&amp;geomFilter=BOX%28127.04872%2C37.14173%2C127.16137%2C37.22617%29&amp;crs=EPSG%3A4326&amp;format=json&amp;geometry=true&amp;size=1000&amp;page=1</t>
        </is>
      </c>
      <c r="C9" s="5" t="inlineStr">
        <is>
          <t>VWORLD_KEY</t>
        </is>
      </c>
      <c r="D9" s="5" t="inlineStr">
        <is>
          <t>2026-10-12</t>
        </is>
      </c>
      <c r="E9" s="5" t="inlineStr">
        <is>
          <t>OK</t>
        </is>
      </c>
      <c r="F9" s="5" t="n">
        <v>722</v>
      </c>
      <c r="G9" s="5" t="n"/>
    </row>
    <row r="10">
      <c r="A10" s="5" t="inlineStr">
        <is>
          <t>LT_C_UPISUQ161</t>
        </is>
      </c>
      <c r="B10" s="5" t="inlineStr">
        <is>
          <t>https://api.vworld.kr/req/data?service=data&amp;version=2.0&amp;request=GetFeature&amp;data=LT_C_UPISUQ161&amp;domain=localhost&amp;geomFilter=BOX%28127.04872%2C37.14173%2C127.16137%2C37.22617%29&amp;crs=EPSG%3A4326&amp;format=json&amp;geometry=true&amp;size=1000&amp;page=1</t>
        </is>
      </c>
      <c r="C10" s="5" t="inlineStr">
        <is>
          <t>VWORLD_KEY</t>
        </is>
      </c>
      <c r="D10" s="5" t="inlineStr">
        <is>
          <t>2026-10-12</t>
        </is>
      </c>
      <c r="E10" s="5" t="inlineStr">
        <is>
          <t>OK</t>
        </is>
      </c>
      <c r="F10" s="5" t="n">
        <v>48</v>
      </c>
      <c r="G10" s="5" t="n"/>
    </row>
    <row r="11">
      <c r="A11" s="5" t="inlineStr">
        <is>
          <t>LT_C_WKMSTRM</t>
        </is>
      </c>
      <c r="B11" s="5" t="inlineStr">
        <is>
          <t>https://api.vworld.kr/req/data?service=data&amp;version=2.0&amp;request=GetFeature&amp;data=LT_C_WKMSTRM&amp;domain=localhost&amp;geomFilter=BOX%28127.04872%2C37.14173%2C127.16137%2C37.22617%29&amp;crs=EPSG%3A4326&amp;format=json&amp;geometry=true&amp;size=1000&amp;page=1</t>
        </is>
      </c>
      <c r="C11" s="5" t="inlineStr">
        <is>
          <t>VWORLD_KEY</t>
        </is>
      </c>
      <c r="D11" s="5" t="inlineStr">
        <is>
          <t>2026-10-12</t>
        </is>
      </c>
      <c r="E11" s="5" t="inlineStr">
        <is>
          <t>OK</t>
        </is>
      </c>
      <c r="F11" s="5" t="n">
        <v>8</v>
      </c>
      <c r="G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2026-10-12T05:51:30Z</dcterms:created>
  <dcterms:modified xsi:type="dcterms:W3CDTF">2026-10-12T05:51:30Z</dcterms:modified>
</cp:coreProperties>
</file>